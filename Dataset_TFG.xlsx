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printerSettings/printerSettings1.bin" ContentType="application/vnd.openxmlformats-officedocument.spreadsheetml.printerSettings"/>
  <Override PartName="/xl/comments1.xml" ContentType="application/vnd.openxmlformats-officedocument.spreadsheetml.comments+xml"/>
  <Override PartName="/xl/worksheets/sheet1.xml" ContentType="application/vnd.openxmlformats-officedocument.spreadsheetml.worksheet+xml"/>
  <Override PartName="/xl/printerSettings/printerSettings2.bin" ContentType="application/vnd.openxmlformats-officedocument.spreadsheetml.printerSettings"/>
  <Override PartName="/xl/comments2.xml" ContentType="application/vnd.openxmlformats-officedocument.spreadsheetml.comments+xml"/>
  <Override PartName="/xl/worksheets/sheet2.xml" ContentType="application/vnd.openxmlformats-officedocument.spreadsheetml.worksheet+xml"/>
  <Override PartName="/xl/comments3.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printerSettings/printerSettings3.bin" ContentType="application/vnd.openxmlformats-officedocument.spreadsheetml.printerSettings"/>
  <Override PartName="/xl/comments4.xml" ContentType="application/vnd.openxmlformats-officedocument.spreadsheetml.comments+xml"/>
  <Override PartName="/xl/worksheets/sheet5.xml" ContentType="application/vnd.openxmlformats-officedocument.spreadsheetml.worksheet+xml"/>
  <Override PartName="/xl/printerSettings/printerSettings4.bin" ContentType="application/vnd.openxmlformats-officedocument.spreadsheetml.printerSettings"/>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printerSettings/printerSettings5.bin" ContentType="application/vnd.openxmlformats-officedocument.spreadsheetml.printerSettings"/>
  <Override PartName="/xl/comments7.xml" ContentType="application/vnd.openxmlformats-officedocument.spreadsheetml.comments+xml"/>
  <Override PartName="/xl/worksheets/sheet9.xml" ContentType="application/vnd.openxmlformats-officedocument.spreadsheetml.worksheet+xml"/>
  <Override PartName="/xl/printerSettings/printerSettings6.bin" ContentType="application/vnd.openxmlformats-officedocument.spreadsheetml.printerSettings"/>
  <Override PartName="/xl/comments8.xml" ContentType="application/vnd.openxmlformats-officedocument.spreadsheetml.comments+xml"/>
  <Override PartName="/xl/worksheets/sheet10.xml" ContentType="application/vnd.openxmlformats-officedocument.spreadsheetml.worksheet+xml"/>
  <Override PartName="/xl/comments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printerSettings/printerSettings7.bin" ContentType="application/vnd.openxmlformats-officedocument.spreadsheetml.printerSettings"/>
  <Override PartName="/xl/comments10.xml" ContentType="application/vnd.openxmlformats-officedocument.spreadsheetml.comments+xml"/>
  <Override PartName="/xl/worksheets/sheet13.xml" ContentType="application/vnd.openxmlformats-officedocument.spreadsheetml.worksheet+xml"/>
  <Override PartName="/xl/printerSettings/printerSettings8.bin" ContentType="application/vnd.openxmlformats-officedocument.spreadsheetml.printerSettings"/>
  <Override PartName="/xl/comments11.xml" ContentType="application/vnd.openxmlformats-officedocument.spreadsheetml.comments+xml"/>
  <Override PartName="/xl/worksheets/sheet14.xml" ContentType="application/vnd.openxmlformats-officedocument.spreadsheetml.worksheet+xml"/>
  <Override PartName="/xl/comments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7" lowestEdited="7" rupBuild="30026"/>
  <workbookPr/>
  <bookViews>
    <workbookView activeTab="16"/>
  </bookViews>
  <sheets>
    <sheet name="Atracción 1.1 (TripAdvisor)" sheetId="1" r:id="rId1"/>
    <sheet name="Atracción 1.3 (Intrusos LP)" sheetId="2" r:id="rId2"/>
    <sheet name="Atracciones Turísticas Completo" sheetId="3" r:id="rId3"/>
    <sheet name="h1" sheetId="4" r:id="rId4"/>
    <sheet name="Restauración 2.1 (TripAdvisor)" sheetId="5" r:id="rId5"/>
    <sheet name="Restauración 2.2 (Publicidad)" sheetId="6" r:id="rId6"/>
    <sheet name="Restauración Completo" sheetId="7" r:id="rId7"/>
    <sheet name="h2" sheetId="8" r:id="rId8"/>
    <sheet name="Hotel 3.1 (TripAdvisor)" sheetId="9" r:id="rId9"/>
    <sheet name="Hotel 3.2 (Publicidad)" sheetId="10" r:id="rId10"/>
    <sheet name="Hoteles Completo" sheetId="11" r:id="rId11"/>
    <sheet name="h3" sheetId="12" r:id="rId12"/>
    <sheet name="Apartamento 4.1 (TripAdvisor)" sheetId="13" r:id="rId13"/>
    <sheet name="Apartamento 4.2 (Publicidad)" sheetId="14" r:id="rId14"/>
    <sheet name="Apartamentos Completo" sheetId="15" r:id="rId15"/>
    <sheet name="h4" sheetId="16" r:id="rId16"/>
    <sheet name="H1234"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alex</author>
  </authors>
  <commentLis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X1" authorId="0">
      <text>
        <r>
          <t xml:space="preserve">Reseñas Google (V1a) / Reseñas Tripadvisor (V1b)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B28" authorId="0">
      <text>
        <r>
          <t xml:space="preserve">No forman parte de este dataset ni barrios, ni calles, ni los lugares de esta lista que no estan dentro de la ciudad de Sevilla (se han omitido de la lista de tripadvisor)
</t>
        </r>
      </text>
    </comment>
  </commentList>
</comments>
</file>

<file path=xl/comments2.xml><?xml version="1.0" encoding="utf-8"?>
<comments xmlns="http://schemas.openxmlformats.org/spreadsheetml/2006/main">
  <authors>
    <author>alex</author>
  </authors>
  <commentLis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Dominancia TripAdvisor (VA &lt; Media): Si el valor está muy por debajo de la media,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B21" authorId="0">
      <text>
        <r>
          <t xml:space="preserve">En esta tabla están aquellos recursos que superan una aparición del 25% (5 de 18) en los resultados del local pack 1 y 2 y que no han sido recogidos en ninguna de las dos tablas anteriores.
</t>
        </r>
      </text>
    </comment>
  </commentList>
</comments>
</file>

<file path=xl/comments3.xml><?xml version="1.0" encoding="utf-8"?>
<comments xmlns="http://schemas.openxmlformats.org/spreadsheetml/2006/main">
  <authors>
    <author>alex</author>
  </authors>
  <commentList>
    <comment ref="Q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R1" authorId="0">
      <text>
        <r>
          <t xml:space="preserve">V6b = |V2a-V2 Ponderada|
Mide la discrepancia entre la valoración otorgada por los usuarios de Google Maps y la ponderada entre Google Maps y Tripadvisor. 
</t>
        </r>
      </text>
    </comment>
    <comment ref="S1" authorId="0">
      <text>
        <r>
          <t xml:space="preserve">V6c = |V2b-V2 Ponderada|
Mide la discrepancia entre la valoración otorgada por los usuarios de Tripadvisor y la ponderada entre Google Maps y Tripadvisor. 
</t>
        </r>
      </text>
    </comment>
    <comment ref="T1" authorId="0">
      <text>
        <r>
          <t xml:space="preserve">Total Reseñas (V1) / Proximidad al Punto 0 (V5)
Mide cuánta atención digital recibe un lugar según su distancia al Punto 0 (La Giralda)</t>
        </r>
      </text>
    </comment>
    <comment ref="U1" authorId="0">
      <text>
        <r>
          <t xml:space="preserve">Log base 10 del Total Reseñas (V1)/Media Ponderada Rating (V2)
Mide la fuerza del recurso en el ecosistema digital</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X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Z1" authorId="0">
      <text>
        <r>
          <t xml:space="preserve">Reseñas Google (V1a) / Reseñas Tripadvisor (V1b)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t>
        </r>
      </text>
    </comment>
    <comment ref="AA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List>
</comments>
</file>

<file path=xl/comments4.xml><?xml version="1.0" encoding="utf-8"?>
<comments xmlns="http://schemas.openxmlformats.org/spreadsheetml/2006/main">
  <authors>
    <author>alex</author>
  </authors>
  <commentList>
    <comment ref="N1" authorId="0">
      <text>
        <r>
          <t xml:space="preserve">Grado de Presencia Algorítmica con puntuación de 0 a 5
Estableciendo 5 puntos estratégicos de Sevilla para cubrir todo el flujo turístico de la ciudad, hago una búsqueda en Google Maps de la categoría del recurso para mirar si aparecen o no en el Top 10 de la lista de resultados situándome en cada uno de los puntos estratégicos.
Los puntos estratégicos son: 1. Giralda (Punto 0 y centro) 2. Las Setas  (Zona Norte) 3. Santa Justa (Zona Este) 4. Plaza España (Zona Sur) y 5. Avenida República Argentina (Zona Oeste)</t>
        </r>
      </text>
    </commen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Siendo el promedio de Ventaja Algorítmica 3:
Dominancia TripAdvisor (VA &lt; Media): Si el valor está muy por debajo de la media,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B28" authorId="0">
      <text>
        <r>
          <t xml:space="preserve">Lista top 25 tripadvisor.
Se han eliminado los restaurantes con el mismo nombre pero en diferente ubicación.
</t>
        </r>
      </text>
    </comment>
  </commentList>
</comments>
</file>

<file path=xl/comments5.xml><?xml version="1.0" encoding="utf-8"?>
<comments xmlns="http://schemas.openxmlformats.org/spreadsheetml/2006/main">
  <authors>
    <author>alex</author>
  </authors>
  <commentList>
    <comment ref="N1" authorId="0">
      <text>
        <r>
          <t xml:space="preserve">Grado de Presencia Algorítmica con puntuación de 0 a 5
Estableciendo 5 puntos estratégicos de Sevilla para cubrir todo el flujo turístico de la ciudad, hago una búsqueda en Google Maps de la categoría del recurso para mirar si aparecen o no en el Top 10 de la lista de resultados situándome en cada uno de los puntos estratégicos.
Los puntos estratégicos son: 1. Giralda (Punto 0 y centro) 2. Las Setas  (Zona Norte) 3. Santa Justa (Zona Este) 4. Plaza España (Zona Sur) y 5. Avenida República Argentina (Zona Oeste)</t>
        </r>
      </text>
    </commen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Siendo el promedio de Ventaja Algorítmica 3:
Dominancia TripAdvisor (VA &lt; Media): Si el valor está muy por debajo de la media,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B9" authorId="0">
      <text>
        <r>
          <t xml:space="preserve">En esta tabla se encuentran aquellos recursos que han aparecido como "Patrocinados" o bien en la lista de tripadvisor o bien en el local pack de algún nodo.
</t>
        </r>
      </text>
    </comment>
  </commentList>
</comments>
</file>

<file path=xl/comments6.xml><?xml version="1.0" encoding="utf-8"?>
<comments xmlns="http://schemas.openxmlformats.org/spreadsheetml/2006/main">
  <authors>
    <author>alex</author>
  </authors>
  <commentList>
    <comment ref="Q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R1" authorId="0">
      <text>
        <r>
          <t xml:space="preserve">V6b = |V2a-V2 Ponderada|
Mide la discrepancia entre la valoración otorgada por los usuarios de Google Maps y la ponderada entre Google Maps y Tripadvisor. 
</t>
        </r>
      </text>
    </comment>
    <comment ref="S1" authorId="0">
      <text>
        <r>
          <t xml:space="preserve">V6c = |V2b-V2 Ponderada|
Mide la discrepancia entre la valoración otorgada por los usuarios de Tripadvisor y la ponderada entre Google Maps y Tripadvisor. 
</t>
        </r>
      </text>
    </comment>
    <comment ref="T1" authorId="0">
      <text>
        <r>
          <t xml:space="preserve">Total Reseñas (V1) / Proximidad al Punto 0 (V5)
Mide cuánta atención digital recibe un lugar según su distancia al Punto 0 (La Giralda)</t>
        </r>
      </text>
    </comment>
    <comment ref="U1" authorId="0">
      <text>
        <r>
          <t xml:space="preserve">Log base 10 del Total Reseñas (V1)/Media Ponderada Rating (V2)
Mide la fuerza del recurso en el ecosistema digital</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X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Z1" authorId="0">
      <text>
        <r>
          <t xml:space="preserve">Reseñas Google (V1a) / Reseñas Tripadvisor (V1b)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t>
        </r>
      </text>
    </comment>
    <comment ref="AA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List>
</comments>
</file>

<file path=xl/comments7.xml><?xml version="1.0" encoding="utf-8"?>
<comments xmlns="http://schemas.openxmlformats.org/spreadsheetml/2006/main">
  <authors>
    <author>alex</author>
  </authors>
  <commentList>
    <comment ref="N1" authorId="0">
      <text>
        <r>
          <t xml:space="preserve">Grado de Presencia Algorítmica con puntuación de 0 a 5
Estableciendo 5 puntos estratégicos de Sevilla para cubrir todo el flujo turístico de la ciudad, hago una búsqueda en Google Maps de la categoría del recurso para mirar si aparecen o no en el Top 10 de la lista de resultados situándome en cada uno de los puntos estratégicos.
Los puntos estratégicos son: 1. Giralda (Punto 0 y centro) 2. Las Setas  (Zona Norte) 3. Santa Justa (Zona Este) 4. Plaza España (Zona Sur) y 5. Avenida República Argentina (Zona Oeste)</t>
        </r>
      </text>
    </commen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Siendo el promedio de Ventaja Algorítmica 3: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(&gt;12),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B28" authorId="0">
      <text>
        <r>
          <t xml:space="preserve">Han sido añadidos 4 recursos que no forman parte del ranking de tripadvisor pero que aparecen como "Patrocinados" en la misma página que el ranking entrelazándose con los clasificados (los cuatro últimos).
</t>
        </r>
      </text>
    </comment>
  </commentList>
</comments>
</file>

<file path=xl/comments8.xml><?xml version="1.0" encoding="utf-8"?>
<comments xmlns="http://schemas.openxmlformats.org/spreadsheetml/2006/main">
  <authors>
    <author>alex</author>
  </authors>
  <commentList>
    <comment ref="N1" authorId="0">
      <text>
        <r>
          <t xml:space="preserve">Grado de Presencia Algorítmica con puntuación de 0 a 5
Estableciendo 5 puntos estratégicos de Sevilla para cubrir todo el flujo turístico de la ciudad, hago una búsqueda en Google Maps de la categoría del recurso para mirar si aparecen o no en el Top 10 de la lista de resultados situándome en cada uno de los puntos estratégicos.
Los puntos estratégicos son: 1. Giralda (Punto 0 y centro) 2. Las Setas  (Zona Norte) 3. Santa Justa (Zona Este) 4. Plaza España (Zona Sur) y 5. Avenida República Argentina (Zona Oeste)</t>
        </r>
      </text>
    </commen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Siendo el promedio de Ventaja Algorítmica 3: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(&gt;12),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AC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(280) "Gigantes Invisibles". Restaurantes con mucha fama real pero ignorados o limitados por el algoritmo. El público los busca, pero Google no los recomienda activamente.
Valores &lt; Promedio (280): "Nodos Mimados". Restaurantes que gozan de una visibilidad privilegiada que supera su masa crítica de opiniones. El algoritmo los "infla" por conveniencia de ubicación.
</t>
        </r>
      </text>
    </comment>
    <comment ref="B26" authorId="0">
      <text>
        <r>
          <t xml:space="preserve">En esta tabla se encuentran aquellos recursos que han aparecido como "Patrocinados" o bien en la lista de tripadvisor o bien en el local pack de algún nodo.
</t>
        </r>
      </text>
    </comment>
  </commentList>
</comments>
</file>

<file path=xl/comments9.xml><?xml version="1.0" encoding="utf-8"?>
<comments xmlns="http://schemas.openxmlformats.org/spreadsheetml/2006/main">
  <authors>
    <author>alex</author>
  </authors>
  <commentList>
    <comment ref="Q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R1" authorId="0">
      <text>
        <r>
          <t xml:space="preserve">V6b = |V2a-V2 Ponderada|
Mide la discrepancia entre la valoración otorgada por los usuarios de Google Maps y la ponderada entre Google Maps y Tripadvisor. 
</t>
        </r>
      </text>
    </comment>
    <comment ref="S1" authorId="0">
      <text>
        <r>
          <t xml:space="preserve">V6c = |V2b-V2 Ponderada|
Mide la discrepancia entre la valoración otorgada por los usuarios de Tripadvisor y la ponderada entre Google Maps y Tripadvisor. 
</t>
        </r>
      </text>
    </comment>
    <comment ref="T1" authorId="0">
      <text>
        <r>
          <t xml:space="preserve">Total Reseñas (V1) / Proximidad al Punto 0 (V5)
Mide cuánta atención digital recibe un lugar según su distancia al Punto 0 (La Giralda)</t>
        </r>
      </text>
    </comment>
    <comment ref="U1" authorId="0">
      <text>
        <r>
          <t xml:space="preserve">Log base 10 del Total Reseñas (V1)/Media Ponderada Rating (V2)
Mide la fuerza del recurso en el ecosistema digital</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X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Z1" authorId="0">
      <text>
        <r>
          <t xml:space="preserve">Reseñas Google (V1a) / Reseñas Tripadvisor (V1b)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t>
        </r>
      </text>
    </comment>
    <comment ref="AA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List>
</comments>
</file>

<file path=xl/comments10.xml><?xml version="1.0" encoding="utf-8"?>
<comments xmlns="http://schemas.openxmlformats.org/spreadsheetml/2006/main">
  <authors>
    <author>alex</author>
  </authors>
  <commentList>
    <comment ref="N1" authorId="0">
      <text>
        <r>
          <t xml:space="preserve">Grado de Presencia Algorítmica con puntuación de 0 a 5
Estableciendo 5 puntos estratégicos de Sevilla para cubrir todo el flujo turístico de la ciudad, hago una búsqueda en Google Maps de la categoría del recurso para mirar si aparecen o no en el Top 10 de la lista de resultados situándome en cada uno de los puntos estratégicos.
Los puntos estratégicos son: 1. Giralda (Punto 0 y centro) 2. Las Setas  (Zona Norte) 3. Santa Justa (Zona Este) 4. Plaza España (Zona Sur) y 5. Avenida República Argentina (Zona Oeste)</t>
        </r>
      </text>
    </commen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Siendo el promedio de Ventaja Algorítmica 3: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(&gt;12),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AC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(280) "Gigantes Invisibles". Restaurantes con mucha fama real pero ignorados o limitados por el algoritmo. El público los busca, pero Google no los recomienda activamente.
Valores &lt; Promedio (280): "Nodos Mimados". Restaurantes que gozan de una visibilidad privilegiada que supera su masa crítica de opiniones. El algoritmo los "infla" por conveniencia de ubicación.
</t>
        </r>
      </text>
    </comment>
    <comment ref="B29" authorId="0">
      <text>
        <r>
          <t xml:space="preserve">Han sido añadidos 2 recursos que no forman parte del ranking de tripadvisor pero que aparecen como "Patrocinados" en la misma página que el ranking entrelazándose con los clasificados. Aparecen 4 pero dos de ellos forman parte del ranking.
</t>
        </r>
      </text>
    </comment>
  </commentList>
</comments>
</file>

<file path=xl/comments11.xml><?xml version="1.0" encoding="utf-8"?>
<comments xmlns="http://schemas.openxmlformats.org/spreadsheetml/2006/main">
  <authors>
    <author>alex</author>
  </authors>
  <commentList>
    <comment ref="N1" authorId="0">
      <text>
        <r>
          <t xml:space="preserve">Grado de Presencia Algorítmica con puntuación de 0 a 5
Estableciendo 5 puntos estratégicos de Sevilla para cubrir todo el flujo turístico de la ciudad, hago una búsqueda en Google Maps de la categoría del recurso para mirar si aparecen o no en el Top 10 de la lista de resultados situándome en cada uno de los puntos estratégicos.
Los puntos estratégicos son: 1. Giralda (Punto 0 y centro) 2. Las Setas  (Zona Norte) 3. Santa Justa (Zona Este) 4. Plaza España (Zona Sur) y 5. Avenida República Argentina (Zona Oeste)</t>
        </r>
      </text>
    </comment>
    <comment ref="P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Q1" authorId="0">
      <text>
        <r>
          <t xml:space="preserve">V6b = |V2a-V2 Ponderada|
Mide la discrepancia entre la valoración otorgada por los usuarios de Google Maps y la ponderada entre Google Maps y Tripadvisor. 
</t>
        </r>
      </text>
    </comment>
    <comment ref="R1" authorId="0">
      <text>
        <r>
          <t xml:space="preserve">V6c = |V2b-V2 Ponderada|
Mide la discrepancia entre la valoración otorgada por los usuarios de Tripadvisor y la ponderada entre Google Maps y Tripadvisor. 
</t>
        </r>
      </text>
    </comment>
    <comment ref="S1" authorId="0">
      <text>
        <r>
          <t xml:space="preserve">Total Reseñas (V1) / Proximidad al Punto 0 (V5)
Mide cuánta atención digital recibe un lugar según su distancia al Punto 0 (La Giralda)</t>
        </r>
      </text>
    </comment>
    <comment ref="T1" authorId="0">
      <text>
        <r>
          <t xml:space="preserve">Log base 10 del Total Reseñas (V1)/Media Ponderada Rating (V2)
Mide la fuerza del recurso en el ecosistema digital</t>
        </r>
      </text>
    </comment>
    <comment ref="U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Y1" authorId="0">
      <text>
        <r>
          <t xml:space="preserve">Reseñas Google (V1a) / Reseñas Tripadvisor (V1b)
Siendo el promedio de Ventaja Algorítmica 3: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(&gt;12), el recurso vive casi exclusivamente de Google Maps. Es un Recurso de Paso.</t>
        </r>
      </text>
    </comment>
    <comment ref="Z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 ref="AC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(280) "Gigantes Invisibles". Restaurantes con mucha fama real pero ignorados o limitados por el algoritmo. El público los busca, pero Google no los recomienda activamente.
Valores &lt; Promedio (280): "Nodos Mimados". Restaurantes que gozan de una visibilidad privilegiada que supera su masa crítica de opiniones. El algoritmo los "infla" por conveniencia de ubicación.
</t>
        </r>
      </text>
    </comment>
    <comment ref="B8" authorId="0">
      <text>
        <r>
          <t xml:space="preserve">Han sido añadidos 2 recursos que no forman parte del ranking de tripadvisor pero que aparecen como "Patrocinados" en la misma página que el ranking entrelazándose con los clasificados. Aparecen 4 pero dos de ellos forman parte del ranking.
Google no muestra patrocinios de apartamentos sino de webs como booking, airbnb, etc para esta categoría
</t>
        </r>
      </text>
    </comment>
  </commentList>
</comments>
</file>

<file path=xl/comments12.xml><?xml version="1.0" encoding="utf-8"?>
<comments xmlns="http://schemas.openxmlformats.org/spreadsheetml/2006/main">
  <authors>
    <author>alex</author>
  </authors>
  <commentList>
    <comment ref="Q1" authorId="0">
      <text>
        <r>
          <t xml:space="preserve">V6a = |V2a-V2b|
Mide la discrepancia entre la valoración otorgada por los usuarios de Google Maps y los de TripAdvisor. 
Consenso (0.0 - 0.2): Existe una opinión unánime en la red. El recurso tiene una reputación sólida y coherente en diferentes ecosistemas digitales.
Disonancia Moderada (0.3 - 0.5): Diferencia estándar. Refleja las distintas naturalezas de público (Google: usuario casual/local; TripAdvisor: turista planificador).
Disonancia Crítica (&gt; 0.6): Alerta de sesgo. Indica que el recurso ofrece experiencias muy distintas según el tipo de plataforma o que una de las puntuaciones podría estar distorsionada por factores externos (campañas de marketing, sesgo algorítmico o nichos de mercado).
</t>
        </r>
      </text>
    </comment>
    <comment ref="R1" authorId="0">
      <text>
        <r>
          <t xml:space="preserve">V6b = |V2a-V2 Ponderada|
Mide la discrepancia entre la valoración otorgada por los usuarios de Google Maps y la ponderada entre Google Maps y Tripadvisor. 
</t>
        </r>
      </text>
    </comment>
    <comment ref="S1" authorId="0">
      <text>
        <r>
          <t xml:space="preserve">V6c = |V2b-V2 Ponderada|
Mide la discrepancia entre la valoración otorgada por los usuarios de Tripadvisor y la ponderada entre Google Maps y Tripadvisor. 
</t>
        </r>
      </text>
    </comment>
    <comment ref="T1" authorId="0">
      <text>
        <r>
          <t xml:space="preserve">Total Reseñas (V1) / Proximidad al Punto 0 (V5)
Mide cuánta atención digital recibe un lugar según su distancia al Punto 0 (La Giralda)</t>
        </r>
      </text>
    </comment>
    <comment ref="U1" authorId="0">
      <text>
        <r>
          <t xml:space="preserve">Log base 10 del Total Reseñas (V1)/Media Ponderada Rating (V2)
Mide la fuerza del recurso en el ecosistema digital</t>
        </r>
      </text>
    </comment>
    <comment ref="V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W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X1" authorId="0">
      <text>
        <r>
          <t xml:space="preserve">(Grado de Presencia Algorítmca (V4)/ Proximidad al Punto 0 (V5))x100 (factor de escala)
Mide la eficiencia del algoritmo para proyectar un recurso más allá de su ubicación física, identificando qué lugares logran romper la barrera de la distancia para ser recomendados en múltiples puntos de la ciudad.
Si el V8 es alto a pesar de estar lejos: Google está "promocionando" ese sitio (posible sesgo comercial o de relevancia extrema). Si el V8 es bajo a pesar de estar cerca: Google está "enterrando" ese sitio (disonancia algorítmica).
</t>
        </r>
      </text>
    </comment>
    <comment ref="Z1" authorId="0">
      <text>
        <r>
          <t xml:space="preserve">Reseñas Google (V1a) / Reseñas Tripadvisor (V1b)
Dominancia TripAdvisor (VA &lt; Media): Si el valor está muy por debajo de la media (0,1,2,3...), el recurso tiene un peso inusual en TripAdvisor. Es un Recurso de Destino o Planificación. El turista lo busca específicamente.
Equilibrio (VA = Media): El recurso se comporta como el promedio de la ciudad.
Dominancia Google (VA &gt; Media): Si el valor es muy alto, el recurso vive casi exclusivamente de Google Maps. </t>
        </r>
      </text>
    </comment>
    <comment ref="AA1" authorId="0">
      <text>
        <r>
          <t xml:space="preserve">V11 = ((V1a+V1b)/(V4+0,1))/100
Mide la relación entre la popularidad real acumulada (reseñas) y la visibilidad que el algoritmo le otorga. Utilizo un corrector de 0,1 para enfatizar la brecha de visibilidad en recursos con presencia nula.
Valores &gt; Promedio : "Gigantes Invisibles". Recursos con mucha fama real pero ignorados o limitados por el algoritmo. El público los busca, pero Google no los recomienda activamente.
Valores &lt; Promedio : "Nodos Mimados". Recursos que gozan de una visibilidad privilegiada que supera su masa crítica de opiniones. El algoritmo los "infla" por conveniencia de ubicación.
Nota: En grandes atracciones el valor puede estructuralmente alto por saturación de datos (gran número de reseñas), no por falta de ayuda. Su demanda es tan masiva que el algoritmo se vuelve irrelevante para su éxito.</t>
        </r>
      </text>
    </comment>
  </commentList>
</comments>
</file>

<file path=xl/sharedStrings.xml><?xml version="1.0" encoding="utf-8"?>
<sst xmlns="http://schemas.openxmlformats.org/spreadsheetml/2006/main" count="1521" uniqueCount="225">
  <si>
    <t>ID</t>
  </si>
  <si>
    <t>Categoría del Recurso</t>
  </si>
  <si>
    <t>Recurso</t>
  </si>
  <si>
    <t>Origen</t>
  </si>
  <si>
    <t>V1​a Masa Crítica - Google (Contraste) (Número de Reseñas)</t>
  </si>
  <si>
    <t>V1​b Masa Crítica - TripAdvisor (Origen) (Número de Reseñas)</t>
  </si>
  <si>
    <t>V2a​ Calidad - Google (Contraste) (Puntuación 0-5)</t>
  </si>
  <si>
    <t>V2b​ Calidad - TripAdvisor (Origen) (Puntuación 0-5)</t>
  </si>
  <si>
    <t>V2 Ponderada</t>
  </si>
  <si>
    <t>V3​ Ranking - TripAdvisor</t>
  </si>
  <si>
    <t>V4a​ Grado de Presencia Algorítmica (web)</t>
  </si>
  <si>
    <t>V4b Grado de Presencia Algorítmica (maps libre)</t>
  </si>
  <si>
    <t>V4c​ Grado de Presencia Algorítmica (maps forzado)</t>
  </si>
  <si>
    <t>V4 Ponderada</t>
  </si>
  <si>
    <t>V5  Proximidad al Punto 0 (Metros)</t>
  </si>
  <si>
    <t>V6a Desviación Calidad (Contraste-Origen)</t>
  </si>
  <si>
    <t>V6b Desviación de Calidad (Contraste-Ponderada)</t>
  </si>
  <si>
    <t>V6c Desviación de Calidad (Origen-Ponderada)</t>
  </si>
  <si>
    <t>V7 Grado de atención turística digital según ubicación</t>
  </si>
  <si>
    <t>V8 Grado de capital reputacional digital</t>
  </si>
  <si>
    <t>V9a Grado de Visibilidad Espacial Algorítmica en web</t>
  </si>
  <si>
    <t>V9b Grado de Visibilidad Espacial Algorítmica en  maps libre</t>
  </si>
  <si>
    <t>V9c Grado de Visibilidad Espacial Algorítmica en maps forzado</t>
  </si>
  <si>
    <t>V10 Grado de Ventaja Algorítmica entre Plataformas</t>
  </si>
  <si>
    <t>V9 Ponderada</t>
  </si>
  <si>
    <t>V11a Grado de Presión Turística Digital según web</t>
  </si>
  <si>
    <t>V11b Grado de Presión Turística Digital según maps libre</t>
  </si>
  <si>
    <t>V11c Grado de Presión Turística Digital según maps forzado</t>
  </si>
  <si>
    <t>V11 Ponderada</t>
  </si>
  <si>
    <t>Atracción Turística</t>
  </si>
  <si>
    <t>Plaza de España</t>
  </si>
  <si>
    <t>TripAdvisor</t>
  </si>
  <si>
    <t>Real Alcázar de Sevilla</t>
  </si>
  <si>
    <t>Catedral de Sevilla</t>
  </si>
  <si>
    <t>Setas de Sevilla</t>
  </si>
  <si>
    <t>Parque de María Luisa</t>
  </si>
  <si>
    <t>La Giralda (Punto 0)</t>
  </si>
  <si>
    <t>Casa de Pilatos</t>
  </si>
  <si>
    <t>Mercado de Triana</t>
  </si>
  <si>
    <t>Museo de Bellas Artes</t>
  </si>
  <si>
    <t>Real Maestranza de Caballería</t>
  </si>
  <si>
    <t>Basílica de la Macarena</t>
  </si>
  <si>
    <t>Isla Mágica</t>
  </si>
  <si>
    <t>Museo de las Ilusiones de Sevilla</t>
  </si>
  <si>
    <t>Torre Sevilla (C.C.)</t>
  </si>
  <si>
    <t>Palacio de las Dueñas</t>
  </si>
  <si>
    <t>Iglesia Colegial del Divino Salvador</t>
  </si>
  <si>
    <t>Palacio de la Condesa de Lebrija</t>
  </si>
  <si>
    <t>Torre Sevilla (Edificio)</t>
  </si>
  <si>
    <t xml:space="preserve">Hospital de los Venerables </t>
  </si>
  <si>
    <t>Acuario de Sevilla</t>
  </si>
  <si>
    <t>Jardines de los Reales Alcázares</t>
  </si>
  <si>
    <t>Archivo General de Indias</t>
  </si>
  <si>
    <t>AIRE Ancient Baths Sevilla</t>
  </si>
  <si>
    <t>Ceramicas Sevilla 1952</t>
  </si>
  <si>
    <t>Torre del Oro</t>
  </si>
  <si>
    <t>INFO</t>
  </si>
  <si>
    <t>V9 Grado de Visibilidad Espacial Algorítmica en web</t>
  </si>
  <si>
    <t>V9 Grado de Visibilidad Espacial Algorítmica en maps libre</t>
  </si>
  <si>
    <t>Parque de los Descubrimientos</t>
  </si>
  <si>
    <t>Intruso</t>
  </si>
  <si>
    <t>-</t>
  </si>
  <si>
    <t>Estanque Central de Plaza de América</t>
  </si>
  <si>
    <t>Torre Sur</t>
  </si>
  <si>
    <t>Mosaico Guadalquivir</t>
  </si>
  <si>
    <t>Fuente de las Cuatro Estaciones</t>
  </si>
  <si>
    <t>Reja del Diablo</t>
  </si>
  <si>
    <t>Monte Gurugú</t>
  </si>
  <si>
    <t>Arco de la Macarena</t>
  </si>
  <si>
    <t>Mural "De Viaje" de Cn6</t>
  </si>
  <si>
    <t>Mural "De Viaje" de Kato</t>
  </si>
  <si>
    <t>V3 In Ta</t>
  </si>
  <si>
    <t>id</t>
  </si>
  <si>
    <t>categoria</t>
  </si>
  <si>
    <t>recurso</t>
  </si>
  <si>
    <t>origen</t>
  </si>
  <si>
    <t>v1a</t>
  </si>
  <si>
    <t>v1b</t>
  </si>
  <si>
    <t>v2a</t>
  </si>
  <si>
    <t>v2b</t>
  </si>
  <si>
    <t>v2p</t>
  </si>
  <si>
    <t>v3con</t>
  </si>
  <si>
    <t>v3</t>
  </si>
  <si>
    <t>v4a</t>
  </si>
  <si>
    <t>v4b</t>
  </si>
  <si>
    <t>v4c</t>
  </si>
  <si>
    <t>v4p</t>
  </si>
  <si>
    <t>v5</t>
  </si>
  <si>
    <t>v6a</t>
  </si>
  <si>
    <t>v6b</t>
  </si>
  <si>
    <t>v6c</t>
  </si>
  <si>
    <t>v7</t>
  </si>
  <si>
    <t>v8</t>
  </si>
  <si>
    <t>v9a</t>
  </si>
  <si>
    <t>v9b</t>
  </si>
  <si>
    <t>v9c</t>
  </si>
  <si>
    <t>v9p</t>
  </si>
  <si>
    <t>v10</t>
  </si>
  <si>
    <t>v11a</t>
  </si>
  <si>
    <t>v11b</t>
  </si>
  <si>
    <t>v11c</t>
  </si>
  <si>
    <t>v11p</t>
  </si>
  <si>
    <t>V4​ Ponderada</t>
  </si>
  <si>
    <t>Restauración</t>
  </si>
  <si>
    <t>Alimentari E Diversi</t>
  </si>
  <si>
    <t>Tripadvisor</t>
  </si>
  <si>
    <t>Fatouch</t>
  </si>
  <si>
    <t>Bodega Palo Santo</t>
  </si>
  <si>
    <t>Abaceria del Postigo</t>
  </si>
  <si>
    <t>Restaurante &amp; Tapas El Sella</t>
  </si>
  <si>
    <t>Gascona</t>
  </si>
  <si>
    <t>Sibuya Urban Sushi Bar Sevilla (Calle Albareda)</t>
  </si>
  <si>
    <t>Brunchit (Calle Santa Patronas)</t>
  </si>
  <si>
    <t>MareaViva</t>
  </si>
  <si>
    <t>La Comilona</t>
  </si>
  <si>
    <t>Beirutina, Breakfast and Lunch</t>
  </si>
  <si>
    <t>Taberna de La Dehesa</t>
  </si>
  <si>
    <t>Il Ristorantino Dell' Avvocato (Calle Regina)</t>
  </si>
  <si>
    <t>Infanta Sevilla</t>
  </si>
  <si>
    <t>La Santa</t>
  </si>
  <si>
    <t>Mokambo (Alfalfa)</t>
  </si>
  <si>
    <t>L' Orangier Cocina Casera</t>
  </si>
  <si>
    <t>Vuela Tapas &amp; Cocktails</t>
  </si>
  <si>
    <t>Bollywood Indian Restaurant</t>
  </si>
  <si>
    <t>Street Food Burger Bermejales</t>
  </si>
  <si>
    <t>Donaire Azabache (Archivos)</t>
  </si>
  <si>
    <t>La Madriguera De Mai</t>
  </si>
  <si>
    <t>La Sede</t>
  </si>
  <si>
    <t>New Royalti By Ismael</t>
  </si>
  <si>
    <t>Pizzeria Da Simona</t>
  </si>
  <si>
    <t>Nudo</t>
  </si>
  <si>
    <t>Publicidad</t>
  </si>
  <si>
    <t>Terraviva</t>
  </si>
  <si>
    <t>Seis Tapas Bar</t>
  </si>
  <si>
    <t>Restaurante Selva Negra Tapas</t>
  </si>
  <si>
    <t>La Bernarda</t>
  </si>
  <si>
    <t>Lobo buhaira restaurante</t>
  </si>
  <si>
    <t>Morancho Brasería</t>
  </si>
  <si>
    <t>Hotel</t>
  </si>
  <si>
    <t>Hotel Gravina 51</t>
  </si>
  <si>
    <t>Hotel Tayko Sevilla</t>
  </si>
  <si>
    <t>Cavalta Boutique Hotel</t>
  </si>
  <si>
    <t>H10 Casa de la Plata</t>
  </si>
  <si>
    <t>Mercer Plaza Sevilla</t>
  </si>
  <si>
    <t>Colectia Hotel Parada del Marqués</t>
  </si>
  <si>
    <t>Hotel Kivir</t>
  </si>
  <si>
    <t>Corral del Rey</t>
  </si>
  <si>
    <t>Mercer Hotel Sevilla 5 GI</t>
  </si>
  <si>
    <t>Only YOU Hotel Sevilla</t>
  </si>
  <si>
    <t>Hotel Boutique Casa Del Poeta</t>
  </si>
  <si>
    <t>Plácido y Grata Hotel Boutique</t>
  </si>
  <si>
    <t>Hotel Colón Gran Meliá</t>
  </si>
  <si>
    <t>Joya Del Casco Boutique Hotel</t>
  </si>
  <si>
    <t>Hotel Becquer</t>
  </si>
  <si>
    <t>Vincci Selección Unuk</t>
  </si>
  <si>
    <t>Hotel Posada del Lucero</t>
  </si>
  <si>
    <t>Hotel Giralda Center</t>
  </si>
  <si>
    <t>Legado Alcazar</t>
  </si>
  <si>
    <t>Hospes Las Casas del Rey de Baeza</t>
  </si>
  <si>
    <t>Hotel Vincci Molviedro</t>
  </si>
  <si>
    <t>El Rey Moro Hotel Boutique</t>
  </si>
  <si>
    <t>Hotel Monte Carmelo</t>
  </si>
  <si>
    <t>Hotel Adriano Sevilla</t>
  </si>
  <si>
    <t>Hesperia Sevilla</t>
  </si>
  <si>
    <t xml:space="preserve">Y </t>
  </si>
  <si>
    <t>V11 Grado de Presión Turística Digital</t>
  </si>
  <si>
    <t>Radisson Collection Hotel, Magdalena Plaza Sevilla</t>
  </si>
  <si>
    <t>Hotel Rey Alfonso X</t>
  </si>
  <si>
    <t>Hotel Fernando III</t>
  </si>
  <si>
    <t>Hotel Occidental Sevilla Viapol</t>
  </si>
  <si>
    <t>Hotel Porcel Torneo</t>
  </si>
  <si>
    <t>Hotel Ibis Sevilla</t>
  </si>
  <si>
    <t>Hotel Exe Palmera</t>
  </si>
  <si>
    <t>ibis Budget Sevilla Aeropuerto</t>
  </si>
  <si>
    <t>AC Hotel Sevilla Forum</t>
  </si>
  <si>
    <t>Eurostars Al Andalus Palace</t>
  </si>
  <si>
    <t>Virgen de los Reyes Hotel by Senator</t>
  </si>
  <si>
    <t>Sercotel Doña Carmela</t>
  </si>
  <si>
    <t>Hotel  NH Collection Sevilla</t>
  </si>
  <si>
    <t>Hotel Ilunion Alcora Sevilla</t>
  </si>
  <si>
    <t>Sevilla Congresos</t>
  </si>
  <si>
    <t>Exe Sevilla Macarena</t>
  </si>
  <si>
    <t>Hotel YIT Via Sevilla Mairena</t>
  </si>
  <si>
    <t>Barceló Sevilla Renacimiento</t>
  </si>
  <si>
    <t>Hilton Garden Inn Sevilla</t>
  </si>
  <si>
    <t>B&amp;B HOTEL Sevilla Bormujos</t>
  </si>
  <si>
    <t>Apartamento</t>
  </si>
  <si>
    <t xml:space="preserve">Aguilas5 Sevilla Suites </t>
  </si>
  <si>
    <t xml:space="preserve">Vincci Molviedro Suites Apartments </t>
  </si>
  <si>
    <t xml:space="preserve">Mylu Suites by Puerta Catedral </t>
  </si>
  <si>
    <t xml:space="preserve">Suites Murillo Alcázar </t>
  </si>
  <si>
    <t xml:space="preserve">Puerta Catedral Apartments </t>
  </si>
  <si>
    <t xml:space="preserve">Suites Murillo Plaza de Santa Cruz </t>
  </si>
  <si>
    <t xml:space="preserve">Suites Murillo Catedral </t>
  </si>
  <si>
    <t xml:space="preserve">Suites Sevilla Plaza </t>
  </si>
  <si>
    <t xml:space="preserve">Puerta Catedral Suites </t>
  </si>
  <si>
    <t xml:space="preserve">Triana House </t>
  </si>
  <si>
    <t xml:space="preserve">Mercer Residences Sevilla </t>
  </si>
  <si>
    <t xml:space="preserve">Palacio Bucarelli </t>
  </si>
  <si>
    <t xml:space="preserve">Hom Sevilla </t>
  </si>
  <si>
    <t xml:space="preserve">Holiday Rentals Tempa Museo </t>
  </si>
  <si>
    <t xml:space="preserve">Pierre &amp; Vacances Sevilla Apartamentos </t>
  </si>
  <si>
    <t xml:space="preserve">Conde De Torrejon 10 </t>
  </si>
  <si>
    <t xml:space="preserve">AZZ Sevilla Torre de la Plata Apartamentos </t>
  </si>
  <si>
    <t xml:space="preserve">The Zentral Arenal Suites </t>
  </si>
  <si>
    <t xml:space="preserve">Q&amp;Q Cathedral Suites </t>
  </si>
  <si>
    <t xml:space="preserve">Singular Siete Revueltas </t>
  </si>
  <si>
    <t xml:space="preserve">Overland Suites Catedral </t>
  </si>
  <si>
    <t xml:space="preserve">Living-Sevilla Maestranza </t>
  </si>
  <si>
    <t xml:space="preserve">Singular Corral de San José </t>
  </si>
  <si>
    <t xml:space="preserve">Rey de Sevilla Flats Macarena </t>
  </si>
  <si>
    <t xml:space="preserve">nQn Aparts &amp; Suites </t>
  </si>
  <si>
    <t>Numa Solea Apartments</t>
  </si>
  <si>
    <t>Vac Luxyry Home Sevilla</t>
  </si>
  <si>
    <t>Apartamentos Luxsevilla Palacio</t>
  </si>
  <si>
    <t>Smartr Sevilla Puente de Triana</t>
  </si>
  <si>
    <t>Smartr Sevilla Las Dueñas</t>
  </si>
  <si>
    <t>Destino_Final</t>
  </si>
  <si>
    <t>Latitud</t>
  </si>
  <si>
    <t>Longitud</t>
  </si>
  <si>
    <t>Invisibles</t>
  </si>
  <si>
    <t>Local Pack</t>
  </si>
  <si>
    <t>Google Maps Libre</t>
  </si>
  <si>
    <t>Google Maps Forzado</t>
  </si>
  <si>
    <t>Anuncios</t>
  </si>
</sst>
</file>

<file path=xl/styles.xml><?xml version="1.0" encoding="utf-8"?>
<styleSheet xmlns="http://schemas.openxmlformats.org/spreadsheetml/2006/main">
  <numFmts count="1">
    <numFmt numFmtId="164" formatCode="_-* #,##0.00_-;\-* #,##0.00_-;_-* &quot;-&quot;??_-;_-@_-"/>
  </numFmts>
  <fonts count="5">
    <font>
      <sz val="11"/>
      <color theme="1"/>
      <name val="Aptos Narrow"/>
      <family val="2"/>
      <scheme val="minor"/>
    </font>
    <font>
      <b/>
      <sz val="11"/>
      <color rgb="FF1F1F1F"/>
      <name val="Arial"/>
      <family val="2"/>
    </font>
    <font>
      <sz val="11"/>
      <color rgb="FF1F1F1F"/>
      <name val="Arial"/>
      <family val="2"/>
    </font>
    <font>
      <sz val="11"/>
      <color theme="1"/>
      <name val="Arial"/>
      <family val="2"/>
    </font>
    <font>
      <b/>
      <sz val="11"/>
      <color theme="1"/>
      <name val="Aptos Narrow"/>
      <family val="2"/>
    </font>
  </fonts>
  <fills count="4">
    <fill>
      <patternFill patternType="none"/>
    </fill>
    <fill>
      <patternFill patternType="gray125">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164" fontId="0" fillId="0" borderId="0"/>
  </cellStyleXfs>
  <cellXfs count="47">
    <xf numFmtId="0" fontId="0" fillId="0" borderId="0" xfId="0"/>
    <xf numFmtId="3" fontId="0" fillId="0" borderId="0" xfId="0" applyNumberFormat="1"/>
    <xf numFmtId="0" fontId="0" fillId="2" borderId="0" xfId="0" applyFill="1"/>
    <xf numFmtId="0" fontId="1" fillId="0" borderId="1" xfId="0" applyFont="1" applyBorder="1" applyAlignment="1">
      <alignment horizontal="left" vertical="center" wrapText="1" indent="1"/>
    </xf>
    <xf numFmtId="0" fontId="1" fillId="3"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1" fillId="2" borderId="1" xfId="0" applyFont="1" applyFill="1" applyBorder="1" applyAlignment="1">
      <alignment horizontal="left" vertical="center" wrapText="1" indent="1"/>
    </xf>
    <xf numFmtId="0" fontId="1" fillId="2" borderId="1" xfId="0" applyFont="1" applyFill="1" applyBorder="1" applyAlignment="1">
      <alignment vertical="center" wrapText="1"/>
    </xf>
    <xf numFmtId="0" fontId="3" fillId="2" borderId="1" xfId="0" applyFont="1" applyFill="1" applyBorder="1" applyAlignment="1">
      <alignment horizontal="left" vertical="center" wrapText="1" indent="1"/>
    </xf>
    <xf numFmtId="2" fontId="0" fillId="0" borderId="0" xfId="0" applyNumberFormat="1"/>
    <xf numFmtId="1" fontId="0" fillId="0" borderId="0" xfId="0" applyNumberFormat="1"/>
    <xf numFmtId="0" fontId="2" fillId="2" borderId="0" xfId="0" applyFont="1" applyFill="1" applyAlignment="1">
      <alignment horizontal="left" vertical="center" wrapText="1" indent="1"/>
    </xf>
    <xf numFmtId="2" fontId="2" fillId="2" borderId="1" xfId="0" applyNumberFormat="1" applyFont="1" applyFill="1" applyBorder="1" applyAlignment="1">
      <alignment horizontal="left" vertical="center" wrapText="1"/>
    </xf>
    <xf numFmtId="2" fontId="3" fillId="2" borderId="1" xfId="0" applyNumberFormat="1" applyFont="1" applyFill="1" applyBorder="1" applyAlignment="1">
      <alignment horizontal="left" vertical="center" wrapText="1"/>
    </xf>
    <xf numFmtId="2" fontId="3" fillId="0" borderId="1" xfId="0" applyNumberFormat="1" applyFont="1" applyBorder="1" applyAlignment="1">
      <alignment horizontal="left"/>
    </xf>
    <xf numFmtId="2" fontId="3" fillId="2" borderId="1" xfId="0" applyNumberFormat="1" applyFont="1" applyFill="1" applyBorder="1" applyAlignment="1">
      <alignment horizontal="left"/>
    </xf>
    <xf numFmtId="2" fontId="2" fillId="2" borderId="1" xfId="0" applyNumberFormat="1" applyFont="1" applyFill="1" applyBorder="1" applyAlignment="1">
      <alignment horizontal="left" vertical="center"/>
    </xf>
    <xf numFmtId="2" fontId="3" fillId="2" borderId="1" xfId="0" applyNumberFormat="1" applyFont="1" applyFill="1" applyBorder="1" applyAlignment="1">
      <alignment horizontal="left" vertical="center"/>
    </xf>
    <xf numFmtId="2" fontId="3" fillId="0" borderId="1" xfId="0" applyNumberFormat="1" applyFont="1" applyBorder="1" applyAlignment="1">
      <alignment horizontal="left" wrapText="1"/>
    </xf>
    <xf numFmtId="2" fontId="3" fillId="2" borderId="1" xfId="0" applyNumberFormat="1" applyFont="1" applyFill="1" applyBorder="1" applyAlignment="1">
      <alignment horizontal="left"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1" fontId="2" fillId="2" borderId="1" xfId="0" applyNumberFormat="1" applyFont="1" applyFill="1" applyBorder="1" applyAlignment="1">
      <alignment horizontal="left" vertical="center" wrapText="1" indent="1"/>
    </xf>
    <xf numFmtId="1" fontId="3" fillId="2" borderId="1" xfId="0" applyNumberFormat="1" applyFont="1" applyFill="1" applyBorder="1" applyAlignment="1">
      <alignment horizontal="left" vertical="center" wrapText="1" inden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indent="1"/>
    </xf>
    <xf numFmtId="0" fontId="2" fillId="2" borderId="0" xfId="0" applyFont="1" applyFill="1" applyAlignment="1">
      <alignment vertical="center" wrapText="1"/>
    </xf>
    <xf numFmtId="0" fontId="2" fillId="0" borderId="0" xfId="0" applyFont="1" applyAlignment="1">
      <alignment horizontal="left" vertical="center" wrapText="1" indent="1"/>
    </xf>
    <xf numFmtId="0" fontId="2"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xf>
    <xf numFmtId="2" fontId="0" fillId="2" borderId="1" xfId="0" applyNumberFormat="1" applyFill="1" applyBorder="1" applyAlignment="1">
      <alignment horizontal="left"/>
    </xf>
    <xf numFmtId="0" fontId="3" fillId="2" borderId="1" xfId="0" applyFont="1" applyFill="1" applyBorder="1" applyAlignment="1">
      <alignment horizontal="left" vertical="center" wrapText="1"/>
    </xf>
    <xf numFmtId="2" fontId="2" fillId="0" borderId="1" xfId="0" applyNumberFormat="1" applyFont="1" applyBorder="1" applyAlignment="1">
      <alignment horizontal="left" vertical="center" wrapText="1"/>
    </xf>
    <xf numFmtId="2" fontId="0" fillId="0" borderId="1" xfId="0" applyNumberFormat="1" applyBorder="1" applyAlignment="1">
      <alignment horizontal="left"/>
    </xf>
    <xf numFmtId="0" fontId="1"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2" fontId="0" fillId="0" borderId="0" xfId="0" applyNumberFormat="1" applyAlignment="1">
      <alignment horizontal="left"/>
    </xf>
    <xf numFmtId="0" fontId="4" fillId="0" borderId="0" xfId="0" applyFont="1" applyAlignment="1">
      <alignment horizontal="center" vertical="center" wrapText="1"/>
    </xf>
    <xf numFmtId="0" fontId="0" fillId="0" borderId="0" xfId="0" applyAlignment="1">
      <alignment vertical="center" wrapText="1"/>
    </xf>
  </cellXfs>
  <cellStyles count="2">
    <cellStyle name="Normal" xfId="0" builtinId="0"/>
    <cellStyle name="Millares" xfId="1" customBuiltin="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tyles" Target="styles.xml"/><Relationship Id="rId19" Type="http://schemas.openxmlformats.org/officeDocument/2006/relationships/theme" Target="theme/theme1.xml"/><Relationship Id="rId20" Type="http://schemas.openxmlformats.org/officeDocument/2006/relationships/sharedStrings" Target="sharedStrings.xml"/></Relationships>
</file>

<file path=xl/theme/theme1.xml><?xml version="1.0" encoding="utf-8"?>
<a:theme xmlns:a="http://schemas.openxmlformats.org/drawingml/2006/main" name="Tema de Office">
  <a:themeElements>
    <a:clrScheme name="Tema de 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Tema de Office">
      <a:majorFont>
        <a:latin typeface="Aptos Display"/>
        <a:ea typeface=""/>
        <a:cs typeface=""/>
      </a:majorFont>
      <a:minorFont>
        <a:latin typeface="Aptos Narrow"/>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xl/printerSettings/printerSettings1.bin"/><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xl/printerSettings/printerSettings2.bin"/><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xl/printerSettings/printerSettings3.bin"/><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xl/printerSettings/printerSettings4.bin"/><Relationship Id="rId2" Type="http://schemas.openxmlformats.org/officeDocument/2006/relationships/comments" Target="../comments5.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printerSettings" Target="/xl/printerSettings/printerSettings5.bin"/><Relationship Id="rId2" Type="http://schemas.openxmlformats.org/officeDocument/2006/relationships/comments" Target="../comments7.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printerSettings" Target="/xl/printerSettings/printerSettings6.bin"/><Relationship Id="rId2" Type="http://schemas.openxmlformats.org/officeDocument/2006/relationships/comments" Target="../comments8.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printerSettings" Target="/xl/printerSettings/printerSettings7.bin"/><Relationship Id="rId2" Type="http://schemas.openxmlformats.org/officeDocument/2006/relationships/comments" Target="../comments10.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printerSettings" Target="/xl/printerSettings/printerSettings8.bin"/><Relationship Id="rId2" Type="http://schemas.openxmlformats.org/officeDocument/2006/relationships/comments" Target="../comments11.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dimension ref="A1:AC28"/>
  <sheetViews>
    <sheetView zoomScale="70" zoomScaleNormal="70" topLeftCell="Q1" workbookViewId="0">
      <selection activeCell="N2" sqref="N2"/>
    </sheetView>
  </sheetViews>
  <sheetFormatPr defaultColWidth="11.421875" defaultRowHeight="15"/>
  <cols>
    <col min="1" max="1" width="5.421875" customWidth="1"/>
    <col min="2" max="2" width="27.57421875" customWidth="1"/>
    <col min="3" max="4" width="33.8515625" customWidth="1"/>
    <col min="5" max="5" width="37.00390625" customWidth="1"/>
    <col min="6" max="6" width="37.28125" customWidth="1"/>
    <col min="7" max="7" width="24.57421875" customWidth="1"/>
    <col min="8" max="8" width="20.140625" customWidth="1"/>
    <col min="9" max="9" width="19.140625" customWidth="1"/>
    <col min="10" max="10" width="17.421875" customWidth="1"/>
    <col min="11" max="14" width="21.00390625" customWidth="1"/>
    <col min="15" max="15" width="24.28125" customWidth="1"/>
    <col min="16" max="18" width="16.8515625" customWidth="1"/>
    <col min="19" max="19" width="27.28125" customWidth="1"/>
    <col min="20" max="20" width="23.57421875" customWidth="1"/>
    <col min="21" max="23" width="22.28125" customWidth="1"/>
    <col min="24" max="25" width="18.57421875" customWidth="1"/>
    <col min="26" max="26" width="25.8515625" customWidth="1"/>
    <col min="27" max="27" width="23.00390625" customWidth="1"/>
    <col min="28" max="28" width="28.28125" customWidth="1"/>
  </cols>
  <sheetData>
    <row r="1" ht="75">
      <c r="A1" s="3" t="s">
        <v>0</v>
      </c>
      <c r="B1" s="3" t="s">
        <v>1</v>
      </c>
      <c r="C1" s="3" t="s">
        <v>2</v>
      </c>
      <c r="D1" s="3" t="s">
        <v>3</v>
      </c>
      <c r="E1" s="3" t="s">
        <v>4</v>
      </c>
      <c r="F1" s="3" t="s">
        <v>5</v>
      </c>
      <c r="G1" s="3" t="s">
        <v>6</v>
      </c>
      <c r="H1" s="3" t="s">
        <v>7</v>
      </c>
      <c r="I1" s="3" t="s">
        <v>8</v>
      </c>
      <c r="J1" s="3" t="s">
        <v>9</v>
      </c>
      <c r="K1" s="7" t="s">
        <v>10</v>
      </c>
      <c r="L1" s="7" t="s">
        <v>11</v>
      </c>
      <c r="M1" s="7" t="s">
        <v>12</v>
      </c>
      <c r="N1" s="7" t="s">
        <v>13</v>
      </c>
      <c r="O1" s="6" t="s">
        <v>14</v>
      </c>
      <c r="P1" s="6" t="s">
        <v>15</v>
      </c>
      <c r="Q1" s="6" t="s">
        <v>16</v>
      </c>
      <c r="R1" s="6" t="s">
        <v>17</v>
      </c>
      <c r="S1" s="3" t="s">
        <v>18</v>
      </c>
      <c r="T1" s="3" t="s">
        <v>19</v>
      </c>
      <c r="U1" s="3" t="s">
        <v>20</v>
      </c>
      <c r="V1" s="3" t="s">
        <v>21</v>
      </c>
      <c r="W1" s="3" t="s">
        <v>22</v>
      </c>
      <c r="X1" s="3" t="s">
        <v>23</v>
      </c>
      <c r="Y1" s="3" t="s">
        <v>24</v>
      </c>
      <c r="Z1" s="3" t="s">
        <v>25</v>
      </c>
      <c r="AA1" s="3" t="s">
        <v>26</v>
      </c>
      <c r="AB1" s="3" t="s">
        <v>27</v>
      </c>
      <c r="AC1" s="31" t="s">
        <v>28</v>
      </c>
    </row>
    <row r="2">
      <c r="A2" s="5">
        <v>1</v>
      </c>
      <c r="B2" s="5" t="s">
        <v>29</v>
      </c>
      <c r="C2" s="5" t="s">
        <v>30</v>
      </c>
      <c r="D2" s="5" t="s">
        <v>31</v>
      </c>
      <c r="E2" s="12">
        <v>181284</v>
      </c>
      <c r="F2" s="12">
        <v>45480</v>
      </c>
      <c r="G2" s="12">
        <v>4.8</v>
      </c>
      <c r="H2" s="12">
        <v>4.8</v>
      </c>
      <c r="I2" s="12">
        <f>((G2*E2)+(H2*F2))/SUM(E2,F2)</f>
        <v>4.8</v>
      </c>
      <c r="J2" s="12">
        <v>1</v>
      </c>
      <c r="K2" s="12">
        <v>0</v>
      </c>
      <c r="L2" s="12">
        <v>0</v>
      </c>
      <c r="M2" s="12">
        <v>0</v>
      </c>
      <c r="N2" s="12">
        <f>(K2*0.5)+(L2*0.4)+(M2*0.1)</f>
        <v>0</v>
      </c>
      <c r="O2" s="12">
        <v>1120</v>
      </c>
      <c r="P2" s="18">
        <f>ABS(G2-H2)</f>
        <v>0</v>
      </c>
      <c r="Q2" s="18">
        <f>ABS(H2-I2)</f>
        <v>0</v>
      </c>
      <c r="R2" s="18">
        <f>ABS(H2-I2)</f>
        <v>0</v>
      </c>
      <c r="S2" s="19">
        <f>SUM(E2,F2)/O2</f>
        <v>202.46785714285716</v>
      </c>
      <c r="T2" s="19">
        <f>LOG10(E2+F2)*I2</f>
        <v>25.706755723762367</v>
      </c>
      <c r="U2" s="19">
        <f>(K2/O2)*100</f>
        <v>0</v>
      </c>
      <c r="V2" s="19">
        <f>(L2/O2)*100</f>
        <v>0</v>
      </c>
      <c r="W2" s="19">
        <f>(M2/O2)*100</f>
        <v>0</v>
      </c>
      <c r="X2" s="19">
        <f>E2/F2</f>
        <v>3.986015831134565</v>
      </c>
      <c r="Y2" s="19">
        <f>(N2/O2)*100</f>
        <v>0</v>
      </c>
      <c r="Z2" s="18">
        <f>(SUM(E2,F2)/(K2+0.1))/100</f>
        <v>22676.4</v>
      </c>
      <c r="AA2" s="18">
        <f>(SUM(E2,F2)/(L2+0.1))/100</f>
        <v>22676.4</v>
      </c>
      <c r="AB2" s="18">
        <f>(SUM(E2,F2)/(M2+0.1))/100</f>
        <v>22676.4</v>
      </c>
      <c r="AC2" s="18">
        <f>(SUM(E2,F2)/(N2+0.1))/100</f>
        <v>22676.4</v>
      </c>
    </row>
    <row r="3">
      <c r="A3" s="8">
        <f>A2+1</f>
        <v>2</v>
      </c>
      <c r="B3" s="5" t="s">
        <v>29</v>
      </c>
      <c r="C3" s="8" t="s">
        <v>32</v>
      </c>
      <c r="D3" s="5" t="s">
        <v>31</v>
      </c>
      <c r="E3" s="13">
        <v>98150</v>
      </c>
      <c r="F3" s="13">
        <v>36806</v>
      </c>
      <c r="G3" s="13">
        <v>4.7</v>
      </c>
      <c r="H3" s="13">
        <v>4.7</v>
      </c>
      <c r="I3" s="12">
        <f>((G3*E3)+(H3*F3))/SUM(E3,F3)</f>
        <v>4.699999999999999</v>
      </c>
      <c r="J3" s="13">
        <v>2</v>
      </c>
      <c r="K3" s="13">
        <v>0</v>
      </c>
      <c r="L3" s="13">
        <v>0</v>
      </c>
      <c r="M3" s="13">
        <v>0</v>
      </c>
      <c r="N3" s="12">
        <f>(K3*0.5)+(L3*0.4)+(M3*0.1)</f>
        <v>0</v>
      </c>
      <c r="O3" s="13">
        <v>400</v>
      </c>
      <c r="P3" s="18">
        <f>ABS(G3-H3)</f>
        <v>0</v>
      </c>
      <c r="Q3" s="18">
        <f>ABS(G3-I3)</f>
        <v>8.881784197001252E-16</v>
      </c>
      <c r="R3" s="18">
        <f>ABS(H3-I3)</f>
        <v>8.881784197001252E-16</v>
      </c>
      <c r="S3" s="19">
        <f>SUM(E3,F3)/O3</f>
        <v>337.39</v>
      </c>
      <c r="T3" s="19">
        <f>LOG10(E3+F3)*I3</f>
        <v>24.111903328681457</v>
      </c>
      <c r="U3" s="19">
        <f>(K3/O3)*100</f>
        <v>0</v>
      </c>
      <c r="V3" s="19">
        <f>(L3/O3)*100</f>
        <v>0</v>
      </c>
      <c r="W3" s="19">
        <f>(M3/O3)*100</f>
        <v>0</v>
      </c>
      <c r="X3" s="19">
        <f>E3/F3</f>
        <v>2.666684779655491</v>
      </c>
      <c r="Y3" s="19">
        <f>(N3/O3)*100</f>
        <v>0</v>
      </c>
      <c r="Z3" s="18">
        <f>(SUM(E3,F3)/(K3+0.1))/100</f>
        <v>13495.6</v>
      </c>
      <c r="AA3" s="18">
        <f>(SUM(E3,F3)/(L3+0.1))/100</f>
        <v>13495.6</v>
      </c>
      <c r="AB3" s="18">
        <f>(SUM(E3,F3)/(M3+0.1))/100</f>
        <v>13495.6</v>
      </c>
      <c r="AC3" s="18">
        <f>(SUM(E3,F3)/(N3+0.1))/100</f>
        <v>13495.6</v>
      </c>
    </row>
    <row r="4">
      <c r="A4" s="8">
        <f>A3+1</f>
        <v>3</v>
      </c>
      <c r="B4" s="5" t="s">
        <v>29</v>
      </c>
      <c r="C4" s="5" t="s">
        <v>33</v>
      </c>
      <c r="D4" s="5" t="s">
        <v>31</v>
      </c>
      <c r="E4" s="12">
        <v>57330</v>
      </c>
      <c r="F4" s="12">
        <v>27294</v>
      </c>
      <c r="G4" s="12">
        <v>4.8</v>
      </c>
      <c r="H4" s="12">
        <v>4.6</v>
      </c>
      <c r="I4" s="12">
        <f>((G4*E4)+(H4*F4))/SUM(E4,F4)</f>
        <v>4.735493477027794</v>
      </c>
      <c r="J4" s="12">
        <v>3</v>
      </c>
      <c r="K4" s="12">
        <v>0</v>
      </c>
      <c r="L4" s="12">
        <v>0</v>
      </c>
      <c r="M4" s="12">
        <v>0</v>
      </c>
      <c r="N4" s="12">
        <f>(K4*0.5)+(L4*0.4)+(M4*0.1)</f>
        <v>0</v>
      </c>
      <c r="O4" s="12">
        <v>59</v>
      </c>
      <c r="P4" s="18">
        <f>ABS(G4-H4)</f>
        <v>0.20000000000000018</v>
      </c>
      <c r="Q4" s="18">
        <f>ABS(G4-I4)</f>
        <v>0.06450652297220572</v>
      </c>
      <c r="R4" s="18">
        <f>ABS(H4-I4)</f>
        <v>0.13549347702779446</v>
      </c>
      <c r="S4" s="19">
        <f>SUM(E4,F4)/O4</f>
        <v>1434.3050847457628</v>
      </c>
      <c r="T4" s="19">
        <f>LOG10(E4+F4)*I4</f>
        <v>23.334113562582065</v>
      </c>
      <c r="U4" s="19">
        <f>(K4/O4)*100</f>
        <v>0</v>
      </c>
      <c r="V4" s="19">
        <f>(L4/O4)*100</f>
        <v>0</v>
      </c>
      <c r="W4" s="19">
        <f>(M4/O4)*100</f>
        <v>0</v>
      </c>
      <c r="X4" s="19">
        <f>E4/F4</f>
        <v>2.1004616399208618</v>
      </c>
      <c r="Y4" s="19">
        <f>(N4/O4)*100</f>
        <v>0</v>
      </c>
      <c r="Z4" s="18">
        <f>(SUM(E4,F4)/(K4+0.1))/100</f>
        <v>8462.4</v>
      </c>
      <c r="AA4" s="18">
        <f>(SUM(E4,F4)/(L4+0.1))/100</f>
        <v>8462.4</v>
      </c>
      <c r="AB4" s="18">
        <f>(SUM(E4,F4)/(M4+0.1))/100</f>
        <v>8462.4</v>
      </c>
      <c r="AC4" s="18">
        <f>(SUM(E4,F4)/(N4+0.1))/100</f>
        <v>8462.4</v>
      </c>
    </row>
    <row r="5">
      <c r="A5" s="8">
        <f>A4+1</f>
        <v>4</v>
      </c>
      <c r="B5" s="5" t="s">
        <v>29</v>
      </c>
      <c r="C5" s="5" t="s">
        <v>34</v>
      </c>
      <c r="D5" s="5" t="s">
        <v>31</v>
      </c>
      <c r="E5" s="12">
        <v>105610</v>
      </c>
      <c r="F5" s="12">
        <v>11354</v>
      </c>
      <c r="G5" s="12">
        <v>4.4</v>
      </c>
      <c r="H5" s="12">
        <v>4</v>
      </c>
      <c r="I5" s="12">
        <f>((G5*E5)+(H5*F5))/SUM(E5,F5)</f>
        <v>4.361170958585548</v>
      </c>
      <c r="J5" s="12">
        <v>5</v>
      </c>
      <c r="K5" s="12">
        <v>150</v>
      </c>
      <c r="L5" s="12">
        <v>0</v>
      </c>
      <c r="M5" s="12">
        <v>0</v>
      </c>
      <c r="N5" s="12">
        <f>(K5*0.5)+(L5*0.4)+(M5*0.1)</f>
        <v>75</v>
      </c>
      <c r="O5" s="12">
        <v>793</v>
      </c>
      <c r="P5" s="18">
        <f>ABS(G5-H5)</f>
        <v>0.40000000000000036</v>
      </c>
      <c r="Q5" s="18">
        <f>ABS(G5-I5)</f>
        <v>0.03882904141445209</v>
      </c>
      <c r="R5" s="18">
        <f>ABS(H5-I5)</f>
        <v>0.36117095858554826</v>
      </c>
      <c r="S5" s="19">
        <f>SUM(E5,F5)/O5</f>
        <v>147.4955863808323</v>
      </c>
      <c r="T5" s="19">
        <f>LOG10(E5+F5)*I5</f>
        <v>22.102642124059276</v>
      </c>
      <c r="U5" s="19">
        <f>(K5/O5)*100</f>
        <v>18.915510718789406</v>
      </c>
      <c r="V5" s="19">
        <f>(L5/O5)*100</f>
        <v>0</v>
      </c>
      <c r="W5" s="19">
        <f>(M5/O5)*100</f>
        <v>0</v>
      </c>
      <c r="X5" s="19">
        <f>E5/F5</f>
        <v>9.301567729434561</v>
      </c>
      <c r="Y5" s="19">
        <f>(N5/O5)*100</f>
        <v>9.457755359394703</v>
      </c>
      <c r="Z5" s="18">
        <f>(SUM(E5,F5)/(K5+0.1))/100</f>
        <v>7.792405063291139</v>
      </c>
      <c r="AA5" s="18">
        <f>(SUM(E5,F5)/(L5+0.1))/100</f>
        <v>11696.4</v>
      </c>
      <c r="AB5" s="18">
        <f>(SUM(E5,F5)/(M5+0.1))/100</f>
        <v>11696.4</v>
      </c>
      <c r="AC5" s="18">
        <f>(SUM(E5,F5)/(N5+0.1))/100</f>
        <v>15.574434087882823</v>
      </c>
    </row>
    <row r="6">
      <c r="A6" s="8">
        <f>A5+1</f>
        <v>5</v>
      </c>
      <c r="B6" s="5" t="s">
        <v>29</v>
      </c>
      <c r="C6" s="5" t="s">
        <v>35</v>
      </c>
      <c r="D6" s="5" t="s">
        <v>31</v>
      </c>
      <c r="E6" s="12">
        <v>41265</v>
      </c>
      <c r="F6" s="12">
        <v>7162</v>
      </c>
      <c r="G6" s="12">
        <v>4.8</v>
      </c>
      <c r="H6" s="12">
        <v>4.5</v>
      </c>
      <c r="I6" s="12">
        <f>((G6*E6)+(H6*F6))/SUM(E6,F6)</f>
        <v>4.755632188655089</v>
      </c>
      <c r="J6" s="12">
        <v>6</v>
      </c>
      <c r="K6" s="12">
        <v>1500</v>
      </c>
      <c r="L6" s="12">
        <v>0</v>
      </c>
      <c r="M6" s="12">
        <v>0</v>
      </c>
      <c r="N6" s="12">
        <f>(K6*0.5)+(L6*0.4)+(M6*0.1)</f>
        <v>750</v>
      </c>
      <c r="O6" s="12">
        <v>1450</v>
      </c>
      <c r="P6" s="18">
        <f>ABS(G6-H6)</f>
        <v>0.2999999999999998</v>
      </c>
      <c r="Q6" s="18">
        <f>ABS(G6-I6)</f>
        <v>0.044367811344910635</v>
      </c>
      <c r="R6" s="18">
        <f>ABS(H6-I6)</f>
        <v>0.2556321886550892</v>
      </c>
      <c r="S6" s="19">
        <f>SUM(E6,F6)/O6</f>
        <v>33.39793103448276</v>
      </c>
      <c r="T6" s="19">
        <f>LOG10(E6+F6)*I6</f>
        <v>22.280553234628318</v>
      </c>
      <c r="U6" s="19">
        <f>(K6/O6)*100</f>
        <v>103.44827586206897</v>
      </c>
      <c r="V6" s="19">
        <f>(L6/O6)*100</f>
        <v>0</v>
      </c>
      <c r="W6" s="19">
        <f>(M6/O6)*100</f>
        <v>0</v>
      </c>
      <c r="X6" s="19">
        <f>E6/F6</f>
        <v>5.761658754537838</v>
      </c>
      <c r="Y6" s="19">
        <f>(N6/O6)*100</f>
        <v>51.724137931034484</v>
      </c>
      <c r="Z6" s="18">
        <f>(SUM(E6,F6)/(K6+0.1))/100</f>
        <v>0.322825144990334</v>
      </c>
      <c r="AA6" s="18">
        <f>(SUM(E6,F6)/(L6+0.1))/100</f>
        <v>4842.7</v>
      </c>
      <c r="AB6" s="18">
        <f>(SUM(E6,F6)/(M6+0.1))/100</f>
        <v>4842.7</v>
      </c>
      <c r="AC6" s="18">
        <f>(SUM(E6,F6)/(N6+0.1))/100</f>
        <v>0.6456072523663511</v>
      </c>
    </row>
    <row r="7">
      <c r="A7" s="8">
        <f>A6+1</f>
        <v>6</v>
      </c>
      <c r="B7" s="5" t="s">
        <v>29</v>
      </c>
      <c r="C7" s="5" t="s">
        <v>36</v>
      </c>
      <c r="D7" s="5" t="s">
        <v>31</v>
      </c>
      <c r="E7" s="12">
        <v>55912</v>
      </c>
      <c r="F7" s="12">
        <v>11034</v>
      </c>
      <c r="G7" s="12">
        <v>4.7</v>
      </c>
      <c r="H7" s="12">
        <v>4.6</v>
      </c>
      <c r="I7" s="12">
        <f>((G7*E7)+(H7*F7))/SUM(E7,F7)</f>
        <v>4.683518059331402</v>
      </c>
      <c r="J7" s="12">
        <v>7</v>
      </c>
      <c r="K7" s="12">
        <v>0</v>
      </c>
      <c r="L7" s="12">
        <v>1683</v>
      </c>
      <c r="M7" s="12">
        <v>100</v>
      </c>
      <c r="N7" s="12">
        <f>(K7*0.5)+(L7*0.4)+(M7*0.1)</f>
        <v>683.2</v>
      </c>
      <c r="O7" s="12">
        <v>0.01</v>
      </c>
      <c r="P7" s="19">
        <f>ABS(G7-H7)</f>
        <v>0.10000000000000053</v>
      </c>
      <c r="Q7" s="19">
        <f>ABS(G7-I7)</f>
        <v>0.016481940668597872</v>
      </c>
      <c r="R7" s="19">
        <f>ABS(H7-I7)</f>
        <v>0.08351805933140266</v>
      </c>
      <c r="S7" s="19">
        <f>SUM(E7,F7)/O7</f>
        <v>6694600</v>
      </c>
      <c r="T7" s="19">
        <f>LOG10(E7+F7)*I7</f>
        <v>22.601368468860684</v>
      </c>
      <c r="U7" s="19">
        <f>(K7/O7)*100</f>
        <v>0</v>
      </c>
      <c r="V7" s="19">
        <f>(L7/O7)*100</f>
        <v>16830000</v>
      </c>
      <c r="W7" s="19">
        <f>(M7/O7)*100</f>
        <v>1000000</v>
      </c>
      <c r="X7" s="19">
        <f>E7/F7</f>
        <v>5.067246692042777</v>
      </c>
      <c r="Y7" s="19">
        <f>(N7/O7)*100</f>
        <v>6832000</v>
      </c>
      <c r="Z7" s="19">
        <f>(SUM(E7,F7)/(K7+0.1))/100</f>
        <v>6694.6</v>
      </c>
      <c r="AA7" s="19">
        <f>(SUM(E7,F7)/(L7+0.1))/100</f>
        <v>0.39775414413879157</v>
      </c>
      <c r="AB7" s="19">
        <f>(SUM(E7,F7)/(M7+0.1))/100</f>
        <v>6.687912087912089</v>
      </c>
      <c r="AC7" s="18">
        <f>(SUM(E7,F7)/(N7+0.1))/100</f>
        <v>0.9797453534318747</v>
      </c>
    </row>
    <row r="8">
      <c r="A8" s="8">
        <f>A7+1</f>
        <v>7</v>
      </c>
      <c r="B8" s="5" t="s">
        <v>29</v>
      </c>
      <c r="C8" s="5" t="s">
        <v>37</v>
      </c>
      <c r="D8" s="5" t="s">
        <v>31</v>
      </c>
      <c r="E8" s="12">
        <v>13802</v>
      </c>
      <c r="F8" s="12">
        <v>3929</v>
      </c>
      <c r="G8" s="12">
        <v>4.4</v>
      </c>
      <c r="H8" s="12">
        <v>4.3</v>
      </c>
      <c r="I8" s="12">
        <f>((G8*E8)+(H8*F8))/SUM(E8,F8)</f>
        <v>4.377841069313631</v>
      </c>
      <c r="J8" s="12">
        <v>8</v>
      </c>
      <c r="K8" s="12">
        <v>0</v>
      </c>
      <c r="L8" s="12">
        <v>0</v>
      </c>
      <c r="M8" s="12">
        <v>0</v>
      </c>
      <c r="N8" s="12">
        <f>(K8*0.5)+(L8*0.4)+(M8*0.1)</f>
        <v>0</v>
      </c>
      <c r="O8" s="12">
        <v>641</v>
      </c>
      <c r="P8" s="18">
        <f>ABS(G8-H8)</f>
        <v>0.10000000000000053</v>
      </c>
      <c r="Q8" s="18">
        <f>ABS(G8-I8)</f>
        <v>0.022158930686368983</v>
      </c>
      <c r="R8" s="18">
        <f>ABS(H8-I8)</f>
        <v>0.07784106931363155</v>
      </c>
      <c r="S8" s="19">
        <f>SUM(E8,F8)/O8</f>
        <v>27.661466458658346</v>
      </c>
      <c r="T8" s="19">
        <f>LOG10(E8+F8)*I8</f>
        <v>18.600278825997027</v>
      </c>
      <c r="U8" s="19">
        <f>(K8/O8)*100</f>
        <v>0</v>
      </c>
      <c r="V8" s="19">
        <f>(L8/O8)*100</f>
        <v>0</v>
      </c>
      <c r="W8" s="19">
        <f>(M8/O8)*100</f>
        <v>0</v>
      </c>
      <c r="X8" s="19">
        <f>E8/F8</f>
        <v>3.512853143293459</v>
      </c>
      <c r="Y8" s="19">
        <f>(N8/O8)*100</f>
        <v>0</v>
      </c>
      <c r="Z8" s="18">
        <f>(SUM(E8,F8)/(K8+0.1))/100</f>
        <v>1773.1</v>
      </c>
      <c r="AA8" s="18">
        <f>(SUM(E8,F8)/(L8+0.1))/100</f>
        <v>1773.1</v>
      </c>
      <c r="AB8" s="18">
        <f>(SUM(E8,F8)/(M8+0.1))/100</f>
        <v>1773.1</v>
      </c>
      <c r="AC8" s="18">
        <f>(SUM(E8,F8)/(N8+0.1))/100</f>
        <v>1773.1</v>
      </c>
    </row>
    <row r="9">
      <c r="A9" s="8">
        <f>A8+1</f>
        <v>8</v>
      </c>
      <c r="B9" s="5" t="s">
        <v>29</v>
      </c>
      <c r="C9" s="5" t="s">
        <v>38</v>
      </c>
      <c r="D9" s="5" t="s">
        <v>31</v>
      </c>
      <c r="E9" s="12">
        <v>10654</v>
      </c>
      <c r="F9" s="12">
        <v>1132</v>
      </c>
      <c r="G9" s="12">
        <v>4.4</v>
      </c>
      <c r="H9" s="12">
        <v>4</v>
      </c>
      <c r="I9" s="12">
        <f>((G9*E9)+(H9*F9))/SUM(E9,F9)</f>
        <v>4.361581537417275</v>
      </c>
      <c r="J9" s="12">
        <v>11</v>
      </c>
      <c r="K9" s="12">
        <v>0</v>
      </c>
      <c r="L9" s="12">
        <v>0</v>
      </c>
      <c r="M9" s="12">
        <v>0</v>
      </c>
      <c r="N9" s="12">
        <f>(K9*0.5)+(L9*0.4)+(M9*0.1)</f>
        <v>0</v>
      </c>
      <c r="O9" s="12">
        <v>974</v>
      </c>
      <c r="P9" s="18">
        <f>ABS(G9-H9)</f>
        <v>0.40000000000000036</v>
      </c>
      <c r="Q9" s="18">
        <f>ABS(G9-I9)</f>
        <v>0.03841846258272508</v>
      </c>
      <c r="R9" s="18">
        <f>ABS(H9-I9)</f>
        <v>0.3615815374172753</v>
      </c>
      <c r="S9" s="19">
        <f>SUM(E9,F9)/O9</f>
        <v>12.100616016427105</v>
      </c>
      <c r="T9" s="19">
        <f>LOG10(E9+F9)*I9</f>
        <v>17.757596682628982</v>
      </c>
      <c r="U9" s="19">
        <f>(K9/O9)*100</f>
        <v>0</v>
      </c>
      <c r="V9" s="19">
        <f>(L9/O9)*100</f>
        <v>0</v>
      </c>
      <c r="W9" s="19">
        <f>(M9/O9)*100</f>
        <v>0</v>
      </c>
      <c r="X9" s="19">
        <f>E9/F9</f>
        <v>9.411660777385158</v>
      </c>
      <c r="Y9" s="19">
        <f>(N9/O9)*100</f>
        <v>0</v>
      </c>
      <c r="Z9" s="18">
        <f>(SUM(E9,F9)/(K9+0.1))/100</f>
        <v>1178.6</v>
      </c>
      <c r="AA9" s="18">
        <f>(SUM(E9,F9)/(L9+0.1))/100</f>
        <v>1178.6</v>
      </c>
      <c r="AB9" s="18">
        <f>(SUM(E9,F9)/(M9+0.1))/100</f>
        <v>1178.6</v>
      </c>
      <c r="AC9" s="18">
        <f>(SUM(E9,F9)/(N9+0.1))/100</f>
        <v>1178.6</v>
      </c>
    </row>
    <row r="10">
      <c r="A10" s="8">
        <f>A9+1</f>
        <v>9</v>
      </c>
      <c r="B10" s="5" t="s">
        <v>29</v>
      </c>
      <c r="C10" s="5" t="s">
        <v>39</v>
      </c>
      <c r="D10" s="5" t="s">
        <v>31</v>
      </c>
      <c r="E10" s="12">
        <v>16014</v>
      </c>
      <c r="F10" s="12">
        <v>2218</v>
      </c>
      <c r="G10" s="12">
        <v>4.7</v>
      </c>
      <c r="H10" s="12">
        <v>4.4</v>
      </c>
      <c r="I10" s="12">
        <f>((G10*E10)+(H10*F10))/SUM(E10,F10)</f>
        <v>4.663503729706012</v>
      </c>
      <c r="J10" s="12">
        <v>12</v>
      </c>
      <c r="K10" s="12">
        <v>0</v>
      </c>
      <c r="L10" s="12">
        <v>0</v>
      </c>
      <c r="M10" s="12">
        <v>0</v>
      </c>
      <c r="N10" s="12">
        <f>(K10*0.5)+(L10*0.4)+(M10*0.1)</f>
        <v>0</v>
      </c>
      <c r="O10" s="12">
        <v>962</v>
      </c>
      <c r="P10" s="18">
        <f>ABS(G10-H10)</f>
        <v>0.2999999999999998</v>
      </c>
      <c r="Q10" s="18">
        <f>ABS(G10-I10)</f>
        <v>0.03649627029398861</v>
      </c>
      <c r="R10" s="18">
        <f>ABS(H10-I10)</f>
        <v>0.2635037297060112</v>
      </c>
      <c r="S10" s="19">
        <f>SUM(E10,F10)/O10</f>
        <v>18.95218295218295</v>
      </c>
      <c r="T10" s="19">
        <f>LOG10(E10+F10)*I10</f>
        <v>19.87041670647496</v>
      </c>
      <c r="U10" s="19">
        <f>(K10/O10)*100</f>
        <v>0</v>
      </c>
      <c r="V10" s="19">
        <f>(L10/O10)*100</f>
        <v>0</v>
      </c>
      <c r="W10" s="19">
        <f>(M10/O10)*100</f>
        <v>0</v>
      </c>
      <c r="X10" s="19">
        <f>E10/F10</f>
        <v>7.220018034265104</v>
      </c>
      <c r="Y10" s="19">
        <f>(N10/O10)*100</f>
        <v>0</v>
      </c>
      <c r="Z10" s="18">
        <f>(SUM(E10,F10)/(K10+0.1))/100</f>
        <v>1823.2</v>
      </c>
      <c r="AA10" s="18">
        <f>(SUM(E10,F10)/(L10+0.1))/100</f>
        <v>1823.2</v>
      </c>
      <c r="AB10" s="18">
        <f>(SUM(E10,F10)/(M10+0.1))/100</f>
        <v>1823.2</v>
      </c>
      <c r="AC10" s="18">
        <f>(SUM(E10,F10)/(N10+0.1))/100</f>
        <v>1823.2</v>
      </c>
    </row>
    <row r="11">
      <c r="A11" s="8">
        <f>A10+1</f>
        <v>10</v>
      </c>
      <c r="B11" s="5" t="s">
        <v>29</v>
      </c>
      <c r="C11" s="5" t="s">
        <v>40</v>
      </c>
      <c r="D11" s="5" t="s">
        <v>31</v>
      </c>
      <c r="E11" s="12">
        <v>31701</v>
      </c>
      <c r="F11" s="12">
        <v>5718</v>
      </c>
      <c r="G11" s="12">
        <v>4.4</v>
      </c>
      <c r="H11" s="12">
        <v>4.1</v>
      </c>
      <c r="I11" s="12">
        <f>((G11*E11)+(H11*F11))/SUM(E11,F11)</f>
        <v>4.354156979074802</v>
      </c>
      <c r="J11" s="12">
        <v>13</v>
      </c>
      <c r="K11" s="12">
        <v>0</v>
      </c>
      <c r="L11" s="12">
        <v>0</v>
      </c>
      <c r="M11" s="12">
        <v>0</v>
      </c>
      <c r="N11" s="12">
        <f>(K11*0.5)+(L11*0.4)+(M11*0.1)</f>
        <v>0</v>
      </c>
      <c r="O11" s="12">
        <v>553</v>
      </c>
      <c r="P11" s="18">
        <f>ABS(G11-H11)</f>
        <v>0.3000000000000007</v>
      </c>
      <c r="Q11" s="18">
        <f>ABS(G11-I11)</f>
        <v>0.0458430209251981</v>
      </c>
      <c r="R11" s="18">
        <f>ABS(H11-I11)</f>
        <v>0.2541569790748026</v>
      </c>
      <c r="S11" s="19">
        <f>SUM(E11,F11)/O11</f>
        <v>67.66546112115732</v>
      </c>
      <c r="T11" s="19">
        <f>LOG10(E11+F11)*I11</f>
        <v>19.911961218712886</v>
      </c>
      <c r="U11" s="19">
        <f>(K11/O11)*100</f>
        <v>0</v>
      </c>
      <c r="V11" s="19">
        <f>(L11/O11)*100</f>
        <v>0</v>
      </c>
      <c r="W11" s="19">
        <f>(M11/O11)*100</f>
        <v>0</v>
      </c>
      <c r="X11" s="19">
        <f>E11/F11</f>
        <v>5.544071353620147</v>
      </c>
      <c r="Y11" s="19">
        <f>(N11/O11)*100</f>
        <v>0</v>
      </c>
      <c r="Z11" s="18">
        <f>(SUM(E11,F11)/(K11+0.1))/100</f>
        <v>3741.9</v>
      </c>
      <c r="AA11" s="18">
        <f>(SUM(E11,F11)/(L11+0.1))/100</f>
        <v>3741.9</v>
      </c>
      <c r="AB11" s="18">
        <f>(SUM(E11,F11)/(M11+0.1))/100</f>
        <v>3741.9</v>
      </c>
      <c r="AC11" s="18">
        <f>(SUM(E11,F11)/(N11+0.1))/100</f>
        <v>3741.9</v>
      </c>
    </row>
    <row r="12">
      <c r="A12" s="8">
        <f>A11+1</f>
        <v>11</v>
      </c>
      <c r="B12" s="5" t="s">
        <v>29</v>
      </c>
      <c r="C12" s="5" t="s">
        <v>41</v>
      </c>
      <c r="D12" s="5" t="s">
        <v>31</v>
      </c>
      <c r="E12" s="12">
        <v>3506</v>
      </c>
      <c r="F12" s="12">
        <v>2484</v>
      </c>
      <c r="G12" s="12">
        <v>4.8</v>
      </c>
      <c r="H12" s="12">
        <v>4.4</v>
      </c>
      <c r="I12" s="12">
        <f>((G12*E12)+(H12*F12))/SUM(E12,F12)</f>
        <v>4.6341235392320534</v>
      </c>
      <c r="J12" s="12">
        <v>14</v>
      </c>
      <c r="K12" s="12">
        <v>0</v>
      </c>
      <c r="L12" s="12">
        <v>0</v>
      </c>
      <c r="M12" s="12">
        <v>0</v>
      </c>
      <c r="N12" s="12">
        <f>(K12*0.5)+(L12*0.4)+(M12*0.1)</f>
        <v>0</v>
      </c>
      <c r="O12" s="12">
        <v>1850</v>
      </c>
      <c r="P12" s="18">
        <f>ABS(G12-H12)</f>
        <v>0.39999999999999947</v>
      </c>
      <c r="Q12" s="18">
        <f>ABS(G12-I12)</f>
        <v>0.16587646076794638</v>
      </c>
      <c r="R12" s="18">
        <f>ABS(H12-I12)</f>
        <v>0.2341235392320531</v>
      </c>
      <c r="S12" s="19">
        <f>SUM(E12,F12)/O12</f>
        <v>3.2378378378378376</v>
      </c>
      <c r="T12" s="19">
        <f>LOG10(E12+F12)*I12</f>
        <v>17.505062555360844</v>
      </c>
      <c r="U12" s="19">
        <f>(K12/O12)*100</f>
        <v>0</v>
      </c>
      <c r="V12" s="19">
        <f>(L12/O12)*100</f>
        <v>0</v>
      </c>
      <c r="W12" s="19">
        <f>(M12/O12)*100</f>
        <v>0</v>
      </c>
      <c r="X12" s="19">
        <f>E12/F12</f>
        <v>1.4114331723027376</v>
      </c>
      <c r="Y12" s="19">
        <f>(N12/O12)*100</f>
        <v>0</v>
      </c>
      <c r="Z12" s="18">
        <f>(SUM(E12,F12)/(K12+0.1))/100</f>
        <v>599</v>
      </c>
      <c r="AA12" s="18">
        <f>(SUM(E12,F12)/(L12+0.1))/100</f>
        <v>599</v>
      </c>
      <c r="AB12" s="18">
        <f>(SUM(E12,F12)/(M12+0.1))/100</f>
        <v>599</v>
      </c>
      <c r="AC12" s="18">
        <f>(SUM(E12,F12)/(N12+0.1))/100</f>
        <v>599</v>
      </c>
    </row>
    <row r="13">
      <c r="A13" s="8">
        <f>A12+1</f>
        <v>12</v>
      </c>
      <c r="B13" s="5" t="s">
        <v>29</v>
      </c>
      <c r="C13" s="5" t="s">
        <v>42</v>
      </c>
      <c r="D13" s="5" t="s">
        <v>31</v>
      </c>
      <c r="E13" s="12">
        <v>32790</v>
      </c>
      <c r="F13" s="12">
        <v>2730</v>
      </c>
      <c r="G13" s="12">
        <v>4.1</v>
      </c>
      <c r="H13" s="12">
        <v>3.6</v>
      </c>
      <c r="I13" s="12">
        <f>((G13*E13)+(H13*F13))/SUM(E13,F13)</f>
        <v>4.061570945945946</v>
      </c>
      <c r="J13" s="12">
        <v>15</v>
      </c>
      <c r="K13" s="12">
        <v>8</v>
      </c>
      <c r="L13" s="12">
        <v>0</v>
      </c>
      <c r="M13" s="12">
        <v>0</v>
      </c>
      <c r="N13" s="12">
        <f>(K13*0.5)+(L13*0.4)+(M13*0.1)</f>
        <v>4</v>
      </c>
      <c r="O13" s="12">
        <v>2260</v>
      </c>
      <c r="P13" s="18">
        <f>ABS(G13-H13)</f>
        <v>0.49999999999999956</v>
      </c>
      <c r="Q13" s="18">
        <f>ABS(G13-I13)</f>
        <v>0.0384290540540535</v>
      </c>
      <c r="R13" s="18">
        <f>ABS(H13-I13)</f>
        <v>0.46157094594594605</v>
      </c>
      <c r="S13" s="19">
        <f>SUM(E13,F13)/O13</f>
        <v>15.716814159292035</v>
      </c>
      <c r="T13" s="19">
        <f>LOG10(E13+F13)*I13</f>
        <v>18.482068752896755</v>
      </c>
      <c r="U13" s="19">
        <f>(K13/O13)*100</f>
        <v>0.35398230088495575</v>
      </c>
      <c r="V13" s="19">
        <f>(L13/O13)*100</f>
        <v>0</v>
      </c>
      <c r="W13" s="19">
        <f>(M13/O13)*100</f>
        <v>0</v>
      </c>
      <c r="X13" s="19">
        <f>E13/F13</f>
        <v>12.010989010989011</v>
      </c>
      <c r="Y13" s="19">
        <f>(N13/O13)*100</f>
        <v>0.17699115044247787</v>
      </c>
      <c r="Z13" s="18">
        <f>(SUM(E13,F13)/(K13+0.1))/100</f>
        <v>43.851851851851855</v>
      </c>
      <c r="AA13" s="18">
        <f>(SUM(E13,F13)/(L13+0.1))/100</f>
        <v>3552</v>
      </c>
      <c r="AB13" s="18">
        <f>(SUM(E13,F13)/(M13+0.1))/100</f>
        <v>3552</v>
      </c>
      <c r="AC13" s="18">
        <f>(SUM(E13,F13)/(N13+0.1))/100</f>
        <v>86.63414634146342</v>
      </c>
    </row>
    <row r="14">
      <c r="A14" s="8">
        <f>A13+1</f>
        <v>13</v>
      </c>
      <c r="B14" s="5" t="s">
        <v>29</v>
      </c>
      <c r="C14" s="5" t="s">
        <v>43</v>
      </c>
      <c r="D14" s="5" t="s">
        <v>31</v>
      </c>
      <c r="E14" s="12">
        <v>4771</v>
      </c>
      <c r="F14" s="12">
        <v>527</v>
      </c>
      <c r="G14" s="12">
        <v>4.5</v>
      </c>
      <c r="H14" s="12">
        <v>4.7</v>
      </c>
      <c r="I14" s="12">
        <f>((G14*E14)+(H14*F14))/SUM(E14,F14)</f>
        <v>4.51989429973575</v>
      </c>
      <c r="J14" s="12">
        <v>16</v>
      </c>
      <c r="K14" s="12">
        <v>0</v>
      </c>
      <c r="L14" s="12">
        <v>0</v>
      </c>
      <c r="M14" s="12">
        <v>0</v>
      </c>
      <c r="N14" s="12">
        <f>(K14*0.5)+(L14*0.4)+(M14*0.1)</f>
        <v>0</v>
      </c>
      <c r="O14" s="12">
        <v>743</v>
      </c>
      <c r="P14" s="18">
        <f>ABS(G14-H14)</f>
        <v>0.20000000000000018</v>
      </c>
      <c r="Q14" s="18">
        <f>ABS(G14-I14)</f>
        <v>0.019894299735749854</v>
      </c>
      <c r="R14" s="18">
        <f>ABS(H14-I14)</f>
        <v>0.18010570026425032</v>
      </c>
      <c r="S14" s="19">
        <f>SUM(E14,F14)/O14</f>
        <v>7.1305518169582776</v>
      </c>
      <c r="T14" s="19">
        <f>LOG10(E14+F14)*I14</f>
        <v>16.83259239228705</v>
      </c>
      <c r="U14" s="19">
        <f>(K14/O14)*100</f>
        <v>0</v>
      </c>
      <c r="V14" s="19">
        <f>(L14/O14)*100</f>
        <v>0</v>
      </c>
      <c r="W14" s="19">
        <f>(M14/O14)*100</f>
        <v>0</v>
      </c>
      <c r="X14" s="19">
        <f>E14/F14</f>
        <v>9.053130929791271</v>
      </c>
      <c r="Y14" s="19">
        <f>(N14/O14)*100</f>
        <v>0</v>
      </c>
      <c r="Z14" s="18">
        <f>(SUM(E14,F14)/(K14+0.1))/100</f>
        <v>529.8</v>
      </c>
      <c r="AA14" s="18">
        <f>(SUM(E14,F14)/(L14+0.1))/100</f>
        <v>529.8</v>
      </c>
      <c r="AB14" s="18">
        <f>(SUM(E14,F14)/(M14+0.1))/100</f>
        <v>529.8</v>
      </c>
      <c r="AC14" s="18">
        <f>(SUM(E14,F14)/(N14+0.1))/100</f>
        <v>529.8</v>
      </c>
    </row>
    <row r="15">
      <c r="A15" s="8">
        <f>A14+1</f>
        <v>14</v>
      </c>
      <c r="B15" s="5" t="s">
        <v>29</v>
      </c>
      <c r="C15" s="5" t="s">
        <v>44</v>
      </c>
      <c r="D15" s="5" t="s">
        <v>31</v>
      </c>
      <c r="E15" s="12">
        <v>14803</v>
      </c>
      <c r="F15" s="12">
        <v>473</v>
      </c>
      <c r="G15" s="12">
        <v>4.3</v>
      </c>
      <c r="H15" s="12">
        <v>4.5</v>
      </c>
      <c r="I15" s="12">
        <f>((G15*E15)+(H15*F15))/SUM(E15,F15)</f>
        <v>4.306192720607489</v>
      </c>
      <c r="J15" s="12">
        <v>17</v>
      </c>
      <c r="K15" s="12">
        <v>0</v>
      </c>
      <c r="L15" s="12">
        <v>0</v>
      </c>
      <c r="M15" s="12">
        <v>0</v>
      </c>
      <c r="N15" s="12">
        <f>(K15*0.5)+(L15*0.4)+(M15*0.1)</f>
        <v>0</v>
      </c>
      <c r="O15" s="12">
        <v>1660</v>
      </c>
      <c r="P15" s="18">
        <f>ABS(G15-H15)</f>
        <v>0.20000000000000018</v>
      </c>
      <c r="Q15" s="18">
        <f>ABS(G15-I15)</f>
        <v>0.006192720607488766</v>
      </c>
      <c r="R15" s="18">
        <f>ABS(H15-I15)</f>
        <v>0.1938072793925114</v>
      </c>
      <c r="S15" s="19">
        <f>SUM(E15,F15)/O15</f>
        <v>9.202409638554217</v>
      </c>
      <c r="T15" s="19">
        <f>LOG10(E15+F15)*I15</f>
        <v>18.01715189649514</v>
      </c>
      <c r="U15" s="19">
        <f>(K15/O15)*100</f>
        <v>0</v>
      </c>
      <c r="V15" s="19">
        <f>(L15/O15)*100</f>
        <v>0</v>
      </c>
      <c r="W15" s="19">
        <f>(M15/O15)*100</f>
        <v>0</v>
      </c>
      <c r="X15" s="19">
        <f>E15/F15</f>
        <v>31.29598308668076</v>
      </c>
      <c r="Y15" s="19">
        <f>(N15/O15)*100</f>
        <v>0</v>
      </c>
      <c r="Z15" s="18">
        <f>(SUM(E15,F15)/(K15+0.1))/100</f>
        <v>1527.6</v>
      </c>
      <c r="AA15" s="18">
        <f>(SUM(E15,F15)/(L15+0.1))/100</f>
        <v>1527.6</v>
      </c>
      <c r="AB15" s="18">
        <f>(SUM(E15,F15)/(M15+0.1))/100</f>
        <v>1527.6</v>
      </c>
      <c r="AC15" s="18">
        <f>(SUM(E15,F15)/(N15+0.1))/100</f>
        <v>1527.6</v>
      </c>
    </row>
    <row r="16">
      <c r="A16" s="8">
        <f>A15+1</f>
        <v>15</v>
      </c>
      <c r="B16" s="5" t="s">
        <v>29</v>
      </c>
      <c r="C16" s="5" t="s">
        <v>45</v>
      </c>
      <c r="D16" s="5" t="s">
        <v>31</v>
      </c>
      <c r="E16" s="12">
        <v>10723</v>
      </c>
      <c r="F16" s="12">
        <v>1689</v>
      </c>
      <c r="G16" s="12">
        <v>4.4</v>
      </c>
      <c r="H16" s="12">
        <v>4.4</v>
      </c>
      <c r="I16" s="12">
        <f>((G16*E16)+(H16*F16))/SUM(E16,F16)</f>
        <v>4.4</v>
      </c>
      <c r="J16" s="12">
        <v>18</v>
      </c>
      <c r="K16" s="12">
        <v>0</v>
      </c>
      <c r="L16" s="12">
        <v>0</v>
      </c>
      <c r="M16" s="12">
        <v>0</v>
      </c>
      <c r="N16" s="12">
        <f>(K16*0.5)+(L16*0.4)+(M16*0.1)</f>
        <v>0</v>
      </c>
      <c r="O16" s="12">
        <v>1000</v>
      </c>
      <c r="P16" s="18">
        <f>ABS(G16-H16)</f>
        <v>0</v>
      </c>
      <c r="Q16" s="18">
        <f>ABS(G16-I16)</f>
        <v>0</v>
      </c>
      <c r="R16" s="18">
        <f>ABS(H16-I16)</f>
        <v>0</v>
      </c>
      <c r="S16" s="19">
        <f>SUM(E16,F16)/O16</f>
        <v>12.412</v>
      </c>
      <c r="T16" s="19">
        <f>LOG10(E16+F16)*I16</f>
        <v>18.012903774413363</v>
      </c>
      <c r="U16" s="19">
        <f>(K16/O16)*100</f>
        <v>0</v>
      </c>
      <c r="V16" s="19">
        <f>(L16/O16)*100</f>
        <v>0</v>
      </c>
      <c r="W16" s="19">
        <f>(M16/O16)*100</f>
        <v>0</v>
      </c>
      <c r="X16" s="19">
        <f>E16/F16</f>
        <v>6.348727057430432</v>
      </c>
      <c r="Y16" s="19">
        <f>(N16/O16)*100</f>
        <v>0</v>
      </c>
      <c r="Z16" s="18">
        <f>(SUM(E16,F16)/(K16+0.1))/100</f>
        <v>1241.2</v>
      </c>
      <c r="AA16" s="18">
        <f>(SUM(E16,F16)/(L16+0.1))/100</f>
        <v>1241.2</v>
      </c>
      <c r="AB16" s="18">
        <f>(SUM(E16,F16)/(M16+0.1))/100</f>
        <v>1241.2</v>
      </c>
      <c r="AC16" s="18">
        <f>(SUM(E16,F16)/(N16+0.1))/100</f>
        <v>1241.2</v>
      </c>
    </row>
    <row r="17" ht="16.5" customHeight="1">
      <c r="A17" s="8">
        <f>A16+1</f>
        <v>16</v>
      </c>
      <c r="B17" s="5" t="s">
        <v>29</v>
      </c>
      <c r="C17" s="5" t="s">
        <v>46</v>
      </c>
      <c r="D17" s="5" t="s">
        <v>31</v>
      </c>
      <c r="E17" s="12">
        <v>12143</v>
      </c>
      <c r="F17" s="12">
        <v>2186</v>
      </c>
      <c r="G17" s="12">
        <v>4.6</v>
      </c>
      <c r="H17" s="12">
        <v>4.5</v>
      </c>
      <c r="I17" s="12">
        <f>((G17*E17)+(H17*F17))/SUM(E17,F17)</f>
        <v>4.584744224998254</v>
      </c>
      <c r="J17" s="12">
        <v>19</v>
      </c>
      <c r="K17" s="12">
        <v>0</v>
      </c>
      <c r="L17" s="12">
        <v>16</v>
      </c>
      <c r="M17" s="12">
        <v>0</v>
      </c>
      <c r="N17" s="12">
        <f>(K17*0.5)+(L17*0.4)+(M17*0.1)</f>
        <v>6.4</v>
      </c>
      <c r="O17" s="12">
        <v>424</v>
      </c>
      <c r="P17" s="18">
        <f>ABS(G17-H17)</f>
        <v>0.09999999999999964</v>
      </c>
      <c r="Q17" s="18">
        <f>ABS(G17-I17)</f>
        <v>0.015255775001745242</v>
      </c>
      <c r="R17" s="18">
        <f>ABS(H17-I17)</f>
        <v>0.0847442249982544</v>
      </c>
      <c r="S17" s="19">
        <f>SUM(E17,F17)/O17</f>
        <v>33.79481132075472</v>
      </c>
      <c r="T17" s="19">
        <f>LOG10(E17+F17)*I17</f>
        <v>19.05518676594831</v>
      </c>
      <c r="U17" s="19">
        <f>(K17/O17)*100</f>
        <v>0</v>
      </c>
      <c r="V17" s="19">
        <f>(L17/O17)*100</f>
        <v>3.7735849056603774</v>
      </c>
      <c r="W17" s="19">
        <f>(M17/O17)*100</f>
        <v>0</v>
      </c>
      <c r="X17" s="19">
        <f>E17/F17</f>
        <v>5.554894784995425</v>
      </c>
      <c r="Y17" s="19">
        <f>(N17/O17)*100</f>
        <v>1.509433962264151</v>
      </c>
      <c r="Z17" s="18">
        <f>(SUM(E17,F17)/(K17+0.1))/100</f>
        <v>1432.9</v>
      </c>
      <c r="AA17" s="18">
        <f>(SUM(E17,F17)/(L17+0.1))/100</f>
        <v>8.899999999999999</v>
      </c>
      <c r="AB17" s="18">
        <f>(SUM(E17,F17)/(M17+0.1))/100</f>
        <v>1432.9</v>
      </c>
      <c r="AC17" s="18">
        <f>(SUM(E17,F17)/(N17+0.1))/100</f>
        <v>22.044615384615387</v>
      </c>
    </row>
    <row r="18">
      <c r="A18" s="8">
        <f>A17+1</f>
        <v>17</v>
      </c>
      <c r="B18" s="5" t="s">
        <v>29</v>
      </c>
      <c r="C18" s="5" t="s">
        <v>47</v>
      </c>
      <c r="D18" s="5" t="s">
        <v>31</v>
      </c>
      <c r="E18" s="12">
        <v>2710</v>
      </c>
      <c r="F18" s="12">
        <v>857</v>
      </c>
      <c r="G18" s="12">
        <v>4.5</v>
      </c>
      <c r="H18" s="12">
        <v>4.3</v>
      </c>
      <c r="I18" s="12">
        <f>((G18*E18)+(H18*F18))/SUM(E18,F18)</f>
        <v>4.451948416035885</v>
      </c>
      <c r="J18" s="12">
        <v>20</v>
      </c>
      <c r="K18" s="12">
        <v>0</v>
      </c>
      <c r="L18" s="12">
        <v>0</v>
      </c>
      <c r="M18" s="12">
        <v>0</v>
      </c>
      <c r="N18" s="12">
        <f>(K18*0.5)+(L18*0.4)+(M18*0.1)</f>
        <v>0</v>
      </c>
      <c r="O18" s="12">
        <v>676</v>
      </c>
      <c r="P18" s="18">
        <f>ABS(G18-H18)</f>
        <v>0.20000000000000018</v>
      </c>
      <c r="Q18" s="18">
        <f>ABS(G18-I18)</f>
        <v>0.04805158396411535</v>
      </c>
      <c r="R18" s="18">
        <f>ABS(H18-I18)</f>
        <v>0.15194841603588483</v>
      </c>
      <c r="S18" s="19">
        <f>SUM(E18,F18)/O18</f>
        <v>5.2766272189349115</v>
      </c>
      <c r="T18" s="19">
        <f>LOG10(E18+F18)*I18</f>
        <v>15.814670200898234</v>
      </c>
      <c r="U18" s="19">
        <f>(K18/O18)*100</f>
        <v>0</v>
      </c>
      <c r="V18" s="19">
        <f>(L18/O18)*100</f>
        <v>0</v>
      </c>
      <c r="W18" s="19">
        <f>(M18/O18)*100</f>
        <v>0</v>
      </c>
      <c r="X18" s="19">
        <f>E18/F18</f>
        <v>3.162193698949825</v>
      </c>
      <c r="Y18" s="19">
        <f>(N18/O18)*100</f>
        <v>0</v>
      </c>
      <c r="Z18" s="18">
        <f>(SUM(E18,F18)/(K18+0.1))/100</f>
        <v>356.7</v>
      </c>
      <c r="AA18" s="18">
        <f>(SUM(E18,F18)/(L18+0.1))/100</f>
        <v>356.7</v>
      </c>
      <c r="AB18" s="18">
        <f>(SUM(E18,F18)/(M18+0.1))/100</f>
        <v>356.7</v>
      </c>
      <c r="AC18" s="18">
        <f>(SUM(E18,F18)/(N18+0.1))/100</f>
        <v>356.7</v>
      </c>
    </row>
    <row r="19">
      <c r="A19" s="8">
        <f>A18+1</f>
        <v>18</v>
      </c>
      <c r="B19" s="5" t="s">
        <v>29</v>
      </c>
      <c r="C19" s="5" t="s">
        <v>48</v>
      </c>
      <c r="D19" s="5" t="s">
        <v>31</v>
      </c>
      <c r="E19" s="12">
        <v>6037</v>
      </c>
      <c r="F19" s="12">
        <v>393</v>
      </c>
      <c r="G19" s="12">
        <v>4.5</v>
      </c>
      <c r="H19" s="12">
        <v>4.4</v>
      </c>
      <c r="I19" s="12">
        <f>((G19*E19)+(H19*F19))/SUM(E19,F19)</f>
        <v>4.4938880248833595</v>
      </c>
      <c r="J19" s="12">
        <v>22</v>
      </c>
      <c r="K19" s="12">
        <v>0</v>
      </c>
      <c r="L19" s="12">
        <v>0</v>
      </c>
      <c r="M19" s="12">
        <v>0</v>
      </c>
      <c r="N19" s="12">
        <f>(K19*0.5)+(L19*0.4)+(M19*0.1)</f>
        <v>0</v>
      </c>
      <c r="O19" s="12">
        <v>1680</v>
      </c>
      <c r="P19" s="18">
        <f>ABS(G19-H19)</f>
        <v>0.09999999999999964</v>
      </c>
      <c r="Q19" s="18">
        <f>ABS(G19-I19)</f>
        <v>0.006111975116640522</v>
      </c>
      <c r="R19" s="18">
        <f>ABS(H19-I19)</f>
        <v>0.09388802488335912</v>
      </c>
      <c r="S19" s="19">
        <f>SUM(E19,F19)/O19</f>
        <v>3.8273809523809526</v>
      </c>
      <c r="T19" s="19">
        <f>LOG10(E19+F19)*I19</f>
        <v>17.11367368745357</v>
      </c>
      <c r="U19" s="19">
        <f>(K19/O19)*100</f>
        <v>0</v>
      </c>
      <c r="V19" s="19">
        <f>(L19/O19)*100</f>
        <v>0</v>
      </c>
      <c r="W19" s="19">
        <f>(M19/O19)*100</f>
        <v>0</v>
      </c>
      <c r="X19" s="19">
        <f>E19/F19</f>
        <v>15.361323155216285</v>
      </c>
      <c r="Y19" s="19">
        <f>(N19/O19)*100</f>
        <v>0</v>
      </c>
      <c r="Z19" s="18">
        <f>(SUM(E19,F19)/(K19+0.1))/100</f>
        <v>643</v>
      </c>
      <c r="AA19" s="18">
        <f>(SUM(E19,F19)/(L19+0.1))/100</f>
        <v>643</v>
      </c>
      <c r="AB19" s="18">
        <f>(SUM(E19,F19)/(M19+0.1))/100</f>
        <v>643</v>
      </c>
      <c r="AC19" s="18">
        <f>(SUM(E19,F19)/(N19+0.1))/100</f>
        <v>643</v>
      </c>
    </row>
    <row r="20">
      <c r="A20" s="8">
        <f>A19+1</f>
        <v>19</v>
      </c>
      <c r="B20" s="5" t="s">
        <v>29</v>
      </c>
      <c r="C20" s="5" t="s">
        <v>49</v>
      </c>
      <c r="D20" s="5" t="s">
        <v>31</v>
      </c>
      <c r="E20" s="12">
        <v>2188</v>
      </c>
      <c r="F20" s="12">
        <v>919</v>
      </c>
      <c r="G20" s="12">
        <v>4.4</v>
      </c>
      <c r="H20" s="12">
        <v>4.3</v>
      </c>
      <c r="I20" s="12">
        <f>((G20*E20)+(H20*F20))/SUM(E20,F20)</f>
        <v>4.370421628580625</v>
      </c>
      <c r="J20" s="12">
        <v>23</v>
      </c>
      <c r="K20" s="12">
        <v>0</v>
      </c>
      <c r="L20" s="12">
        <v>0</v>
      </c>
      <c r="M20" s="12">
        <v>0</v>
      </c>
      <c r="N20" s="12">
        <f>(K20*0.5)+(L20*0.4)+(M20*0.1)</f>
        <v>0</v>
      </c>
      <c r="O20" s="12">
        <v>264</v>
      </c>
      <c r="P20" s="18">
        <f>ABS(G20-H20)</f>
        <v>0.10000000000000053</v>
      </c>
      <c r="Q20" s="18">
        <f>ABS(G20-I20)</f>
        <v>0.029578371419375138</v>
      </c>
      <c r="R20" s="18">
        <f>ABS(H20-I20)</f>
        <v>0.0704216285806254</v>
      </c>
      <c r="S20" s="19">
        <f>SUM(E20,F20)/O20</f>
        <v>11.768939393939394</v>
      </c>
      <c r="T20" s="19">
        <f>LOG10(E20+F20)*I20</f>
        <v>15.263003747609908</v>
      </c>
      <c r="U20" s="19">
        <f>(K20/O20)*100</f>
        <v>0</v>
      </c>
      <c r="V20" s="19">
        <f>(L20/O20)*100</f>
        <v>0</v>
      </c>
      <c r="W20" s="19">
        <f>(M20/O20)*100</f>
        <v>0</v>
      </c>
      <c r="X20" s="19">
        <f>E20/F20</f>
        <v>2.380848748639826</v>
      </c>
      <c r="Y20" s="19">
        <f>(N20/O20)*100</f>
        <v>0</v>
      </c>
      <c r="Z20" s="18">
        <f>(SUM(E20,F20)/(K20+0.1))/100</f>
        <v>310.7</v>
      </c>
      <c r="AA20" s="18">
        <f>(SUM(E20,F20)/(L20+0.1))/100</f>
        <v>310.7</v>
      </c>
      <c r="AB20" s="18">
        <f>(SUM(E20,F20)/(M20+0.1))/100</f>
        <v>310.7</v>
      </c>
      <c r="AC20" s="18">
        <f>(SUM(E20,F20)/(N20+0.1))/100</f>
        <v>310.7</v>
      </c>
    </row>
    <row r="21" s="2" customFormat="1">
      <c r="A21" s="8">
        <f>A20+1</f>
        <v>20</v>
      </c>
      <c r="B21" s="5" t="s">
        <v>29</v>
      </c>
      <c r="C21" s="5" t="s">
        <v>50</v>
      </c>
      <c r="D21" s="5" t="s">
        <v>31</v>
      </c>
      <c r="E21" s="12">
        <v>14846</v>
      </c>
      <c r="F21" s="12">
        <v>702</v>
      </c>
      <c r="G21" s="12">
        <v>4.5</v>
      </c>
      <c r="H21" s="12">
        <v>3.9</v>
      </c>
      <c r="I21" s="12">
        <f>((G21*E21)+(H21*F21))/SUM(E21,F21)</f>
        <v>4.472909698996656</v>
      </c>
      <c r="J21" s="12">
        <v>24</v>
      </c>
      <c r="K21" s="12">
        <v>0</v>
      </c>
      <c r="L21" s="12">
        <v>0</v>
      </c>
      <c r="M21" s="12">
        <v>0</v>
      </c>
      <c r="N21" s="12">
        <f>(K21*0.5)+(L21*0.4)+(M21*0.1)</f>
        <v>0</v>
      </c>
      <c r="O21" s="12">
        <v>1730</v>
      </c>
      <c r="P21" s="18">
        <f>ABS(G21-H21)</f>
        <v>0.6000000000000001</v>
      </c>
      <c r="Q21" s="18">
        <f>ABS(G21-I21)</f>
        <v>0.027090301003344308</v>
      </c>
      <c r="R21" s="18">
        <f>ABS(H21-I21)</f>
        <v>0.5729096989966558</v>
      </c>
      <c r="S21" s="19">
        <f>SUM(E21,F21)/O21</f>
        <v>8.98728323699422</v>
      </c>
      <c r="T21" s="19">
        <f>LOG10(E21+F21)*I21</f>
        <v>18.7489816690377</v>
      </c>
      <c r="U21" s="19">
        <f>(K21/O21)*100</f>
        <v>0</v>
      </c>
      <c r="V21" s="19">
        <f>(L21/O21)*100</f>
        <v>0</v>
      </c>
      <c r="W21" s="19">
        <f>(M21/O21)*100</f>
        <v>0</v>
      </c>
      <c r="X21" s="19">
        <f>E21/F21</f>
        <v>21.14814814814815</v>
      </c>
      <c r="Y21" s="19">
        <f>(N21/O21)*100</f>
        <v>0</v>
      </c>
      <c r="Z21" s="18">
        <f>(SUM(E21,F21)/(K21+0.1))/100</f>
        <v>1554.8</v>
      </c>
      <c r="AA21" s="18">
        <f>(SUM(E21,F21)/(L21+0.1))/100</f>
        <v>1554.8</v>
      </c>
      <c r="AB21" s="18">
        <f>(SUM(E21,F21)/(M21+0.1))/100</f>
        <v>1554.8</v>
      </c>
      <c r="AC21" s="18">
        <f>(SUM(E21,F21)/(N21+0.1))/100</f>
        <v>1554.8</v>
      </c>
    </row>
    <row r="22">
      <c r="A22" s="8">
        <f>A21+1</f>
        <v>21</v>
      </c>
      <c r="B22" s="5" t="s">
        <v>29</v>
      </c>
      <c r="C22" s="5" t="s">
        <v>51</v>
      </c>
      <c r="D22" s="5" t="s">
        <v>31</v>
      </c>
      <c r="E22" s="12">
        <v>297</v>
      </c>
      <c r="F22" s="12">
        <v>1851</v>
      </c>
      <c r="G22" s="12">
        <v>4.8</v>
      </c>
      <c r="H22" s="12">
        <v>4.7</v>
      </c>
      <c r="I22" s="12">
        <f>((G22*E22)+(H22*F22))/SUM(E22,F22)</f>
        <v>4.7138268156424585</v>
      </c>
      <c r="J22" s="12">
        <v>25</v>
      </c>
      <c r="K22" s="12">
        <v>0</v>
      </c>
      <c r="L22" s="12">
        <v>0</v>
      </c>
      <c r="M22" s="12">
        <v>0</v>
      </c>
      <c r="N22" s="12">
        <f>(K22*0.5)+(L22*0.4)+(M22*0.1)</f>
        <v>0</v>
      </c>
      <c r="O22" s="12">
        <v>396</v>
      </c>
      <c r="P22" s="18">
        <f>ABS(G22-H22)</f>
        <v>0.09999999999999964</v>
      </c>
      <c r="Q22" s="18">
        <f>ABS(G22-I22)</f>
        <v>0.08617318435754129</v>
      </c>
      <c r="R22" s="18">
        <f>ABS(H22-I22)</f>
        <v>0.013826815642458357</v>
      </c>
      <c r="S22" s="19">
        <f>SUM(E22,F22)/O22</f>
        <v>5.424242424242424</v>
      </c>
      <c r="T22" s="19">
        <f>LOG10(E22+F22)*I22</f>
        <v>15.706632525692147</v>
      </c>
      <c r="U22" s="19">
        <f>(K22/O22)*100</f>
        <v>0</v>
      </c>
      <c r="V22" s="19">
        <f>(L22/O22)*100</f>
        <v>0</v>
      </c>
      <c r="W22" s="19">
        <f>(M22/O22)*100</f>
        <v>0</v>
      </c>
      <c r="X22" s="19">
        <f>E22/F22</f>
        <v>0.16045380875202594</v>
      </c>
      <c r="Y22" s="19">
        <f>(N22/O22)*100</f>
        <v>0</v>
      </c>
      <c r="Z22" s="18">
        <f>(SUM(E22,F22)/(K22+0.1))/100</f>
        <v>214.8</v>
      </c>
      <c r="AA22" s="18">
        <f>(SUM(E22,F22)/(L22+0.1))/100</f>
        <v>214.8</v>
      </c>
      <c r="AB22" s="18">
        <f>(SUM(E22,F22)/(M22+0.1))/100</f>
        <v>214.8</v>
      </c>
      <c r="AC22" s="18">
        <f>(SUM(E22,F22)/(N22+0.1))/100</f>
        <v>214.8</v>
      </c>
    </row>
    <row r="23">
      <c r="A23" s="8">
        <f>A22+1</f>
        <v>22</v>
      </c>
      <c r="B23" s="5" t="s">
        <v>29</v>
      </c>
      <c r="C23" s="5" t="s">
        <v>52</v>
      </c>
      <c r="D23" s="5" t="s">
        <v>31</v>
      </c>
      <c r="E23" s="12">
        <v>7415</v>
      </c>
      <c r="F23" s="12">
        <v>1258</v>
      </c>
      <c r="G23" s="12">
        <v>4.4</v>
      </c>
      <c r="H23" s="12">
        <v>4</v>
      </c>
      <c r="I23" s="12">
        <f>((G23*E23)+(H23*F23))/SUM(E23,F23)</f>
        <v>4.341980860140667</v>
      </c>
      <c r="J23" s="12">
        <v>26</v>
      </c>
      <c r="K23" s="12">
        <v>0</v>
      </c>
      <c r="L23" s="12">
        <v>0</v>
      </c>
      <c r="M23" s="12">
        <v>0</v>
      </c>
      <c r="N23" s="12">
        <f>(K23*0.5)+(L23*0.4)+(M23*0.1)</f>
        <v>0</v>
      </c>
      <c r="O23" s="12">
        <v>182</v>
      </c>
      <c r="P23" s="18">
        <f>ABS(G23-H23)</f>
        <v>0.40000000000000036</v>
      </c>
      <c r="Q23" s="18">
        <f>ABS(G23-I23)</f>
        <v>0.05801913985933371</v>
      </c>
      <c r="R23" s="18">
        <f>ABS(H23-I23)</f>
        <v>0.34198086014066664</v>
      </c>
      <c r="S23" s="19">
        <f>SUM(E23,F23)/O23</f>
        <v>47.65384615384615</v>
      </c>
      <c r="T23" s="19">
        <f>LOG10(E23+F23)*I23</f>
        <v>17.09945592601945</v>
      </c>
      <c r="U23" s="19">
        <f>(K23/O23)*100</f>
        <v>0</v>
      </c>
      <c r="V23" s="19">
        <f>(L23/O23)*100</f>
        <v>0</v>
      </c>
      <c r="W23" s="19">
        <f>(M23/O23)*100</f>
        <v>0</v>
      </c>
      <c r="X23" s="19">
        <f>E23/F23</f>
        <v>5.894276629570747</v>
      </c>
      <c r="Y23" s="19">
        <f>(N23/O23)*100</f>
        <v>0</v>
      </c>
      <c r="Z23" s="18">
        <f>(SUM(E23,F23)/(K23+0.1))/100</f>
        <v>867.3</v>
      </c>
      <c r="AA23" s="18">
        <f>(SUM(E23,F23)/(L23+0.1))/100</f>
        <v>867.3</v>
      </c>
      <c r="AB23" s="18">
        <f>(SUM(E23,F23)/(M23+0.1))/100</f>
        <v>867.3</v>
      </c>
      <c r="AC23" s="18">
        <f>(SUM(E23,F23)/(N23+0.1))/100</f>
        <v>867.3</v>
      </c>
    </row>
    <row r="24">
      <c r="A24" s="8">
        <f>A23+1</f>
        <v>23</v>
      </c>
      <c r="B24" s="5" t="s">
        <v>29</v>
      </c>
      <c r="C24" s="5" t="s">
        <v>53</v>
      </c>
      <c r="D24" s="5" t="s">
        <v>31</v>
      </c>
      <c r="E24" s="12">
        <v>6837</v>
      </c>
      <c r="F24" s="12">
        <v>1931</v>
      </c>
      <c r="G24" s="12">
        <v>4.5</v>
      </c>
      <c r="H24" s="12">
        <v>4.2</v>
      </c>
      <c r="I24" s="12">
        <f>((G24*E24)+(H24*F24))/SUM(E24,F24)</f>
        <v>4.433930200729927</v>
      </c>
      <c r="J24" s="12">
        <v>27</v>
      </c>
      <c r="K24" s="12">
        <v>0</v>
      </c>
      <c r="L24" s="12">
        <v>0</v>
      </c>
      <c r="M24" s="12">
        <v>50</v>
      </c>
      <c r="N24" s="12">
        <f>(K24*0.5)+(L24*0.4)+(M24*0.1)</f>
        <v>5</v>
      </c>
      <c r="O24" s="12">
        <v>289</v>
      </c>
      <c r="P24" s="18">
        <f>ABS(G24-H24)</f>
        <v>0.2999999999999998</v>
      </c>
      <c r="Q24" s="18">
        <f>ABS(G24-I24)</f>
        <v>0.06606979927007295</v>
      </c>
      <c r="R24" s="18">
        <f>ABS(H24-I24)</f>
        <v>0.23393020072992687</v>
      </c>
      <c r="S24" s="19">
        <f>SUM(E24,F24)/O24</f>
        <v>30.33910034602076</v>
      </c>
      <c r="T24" s="19">
        <f>LOG10(E24+F24)*I24</f>
        <v>17.482545787836322</v>
      </c>
      <c r="U24" s="19">
        <f>(K24/O24)*100</f>
        <v>0</v>
      </c>
      <c r="V24" s="19">
        <f>(L24/O24)*100</f>
        <v>0</v>
      </c>
      <c r="W24" s="19">
        <f>(M24/O24)*100</f>
        <v>17.301038062283737</v>
      </c>
      <c r="X24" s="19">
        <f>E24/F24</f>
        <v>3.540652511651994</v>
      </c>
      <c r="Y24" s="19">
        <f>(N24/O24)*100</f>
        <v>1.7301038062283738</v>
      </c>
      <c r="Z24" s="18">
        <f>(SUM(E24,F24)/(K24+0.1))/100</f>
        <v>876.8</v>
      </c>
      <c r="AA24" s="18">
        <f>(SUM(E24,F24)/(L24+0.1))/100</f>
        <v>876.8</v>
      </c>
      <c r="AB24" s="18">
        <f>(SUM(E24,F24)/(M24+0.1))/100</f>
        <v>1.7500998003992014</v>
      </c>
      <c r="AC24" s="18">
        <f>(SUM(E24,F24)/(N24+0.1))/100</f>
        <v>17.192156862745097</v>
      </c>
    </row>
    <row r="25">
      <c r="A25" s="8">
        <f>A24+1</f>
        <v>24</v>
      </c>
      <c r="B25" s="5" t="s">
        <v>29</v>
      </c>
      <c r="C25" s="5" t="s">
        <v>54</v>
      </c>
      <c r="D25" s="5" t="s">
        <v>31</v>
      </c>
      <c r="E25" s="12">
        <v>1045</v>
      </c>
      <c r="F25" s="12">
        <v>122</v>
      </c>
      <c r="G25" s="12">
        <v>5</v>
      </c>
      <c r="H25" s="12">
        <v>4.9</v>
      </c>
      <c r="I25" s="12">
        <f>((G25*E25)+(H25*F25))/SUM(E25,F25)</f>
        <v>4.989545844044559</v>
      </c>
      <c r="J25" s="12">
        <v>30</v>
      </c>
      <c r="K25" s="12">
        <v>0</v>
      </c>
      <c r="L25" s="12">
        <v>0</v>
      </c>
      <c r="M25" s="12">
        <v>0</v>
      </c>
      <c r="N25" s="12">
        <f>(K25*0.5)+(L25*0.4)+(M25*0.1)</f>
        <v>0</v>
      </c>
      <c r="O25" s="12">
        <v>398</v>
      </c>
      <c r="P25" s="18">
        <f>ABS(G25-H25)</f>
        <v>0.09999999999999964</v>
      </c>
      <c r="Q25" s="18">
        <f>ABS(G25-I25)</f>
        <v>0.010454155955440747</v>
      </c>
      <c r="R25" s="18">
        <f>ABS(H25-I25)</f>
        <v>0.0895458440445589</v>
      </c>
      <c r="S25" s="19">
        <f>SUM(E25,F25)/O25</f>
        <v>2.9321608040201004</v>
      </c>
      <c r="T25" s="19">
        <f>LOG10(E25+F25)*I25</f>
        <v>15.303290643171366</v>
      </c>
      <c r="U25" s="19">
        <f>(K25/O25)*100</f>
        <v>0</v>
      </c>
      <c r="V25" s="19">
        <f>(L25/O25)*100</f>
        <v>0</v>
      </c>
      <c r="W25" s="19">
        <f>(M25/O25)*100</f>
        <v>0</v>
      </c>
      <c r="X25" s="19">
        <f>E25/F25</f>
        <v>8.565573770491802</v>
      </c>
      <c r="Y25" s="19">
        <f>(N25/O25)*100</f>
        <v>0</v>
      </c>
      <c r="Z25" s="18">
        <f>(SUM(E25,F25)/(K25+0.1))/100</f>
        <v>116.7</v>
      </c>
      <c r="AA25" s="18">
        <f>(SUM(E25,F25)/(L25+0.1))/100</f>
        <v>116.7</v>
      </c>
      <c r="AB25" s="18">
        <f>(SUM(E25,F25)/(M25+0.1))/100</f>
        <v>116.7</v>
      </c>
      <c r="AC25" s="18">
        <f>(SUM(E25,F25)/(N25+0.1))/100</f>
        <v>116.7</v>
      </c>
    </row>
    <row r="26">
      <c r="A26" s="8">
        <f>A25+1</f>
        <v>25</v>
      </c>
      <c r="B26" s="5" t="s">
        <v>29</v>
      </c>
      <c r="C26" s="5" t="s">
        <v>55</v>
      </c>
      <c r="D26" s="5" t="s">
        <v>31</v>
      </c>
      <c r="E26" s="13">
        <v>53575</v>
      </c>
      <c r="F26" s="13">
        <v>2469</v>
      </c>
      <c r="G26" s="13">
        <v>4.5</v>
      </c>
      <c r="H26" s="13">
        <v>3.9</v>
      </c>
      <c r="I26" s="12">
        <f>((G26*E26)+(H26*F26))/SUM(E26,F26)</f>
        <v>4.473567197202199</v>
      </c>
      <c r="J26" s="13">
        <v>33</v>
      </c>
      <c r="K26" s="13">
        <v>0</v>
      </c>
      <c r="L26" s="13">
        <v>0</v>
      </c>
      <c r="M26" s="13">
        <v>0</v>
      </c>
      <c r="N26" s="12">
        <f>(K26*0.5)+(L26*0.4)+(M26*0.1)</f>
        <v>0</v>
      </c>
      <c r="O26" s="13">
        <v>522</v>
      </c>
      <c r="P26" s="18">
        <f>ABS(G26-H26)</f>
        <v>0.6000000000000001</v>
      </c>
      <c r="Q26" s="18">
        <f>ABS(G26-I26)</f>
        <v>0.026432802797801358</v>
      </c>
      <c r="R26" s="18">
        <f>ABS(H26-I26)</f>
        <v>0.5735671972021987</v>
      </c>
      <c r="S26" s="19">
        <f>SUM(E26,F26)/O26</f>
        <v>107.3639846743295</v>
      </c>
      <c r="T26" s="19">
        <f>LOG10(E26+F26)*I26</f>
        <v>21.24286412587437</v>
      </c>
      <c r="U26" s="19">
        <f>(K26/O26)*100</f>
        <v>0</v>
      </c>
      <c r="V26" s="19">
        <f>(L26/O26)*100</f>
        <v>0</v>
      </c>
      <c r="W26" s="19">
        <f>(M26/O26)*100</f>
        <v>0</v>
      </c>
      <c r="X26" s="19">
        <f>E26/F26</f>
        <v>21.69906844876468</v>
      </c>
      <c r="Y26" s="19">
        <f>(N26/O26)*100</f>
        <v>0</v>
      </c>
      <c r="Z26" s="18">
        <f>(SUM(E26,F26)/(K26+0.1))/100</f>
        <v>5604.4</v>
      </c>
      <c r="AA26" s="18">
        <f>(SUM(E26,F26)/(L26+0.1))/100</f>
        <v>5604.4</v>
      </c>
      <c r="AB26" s="18">
        <f>(SUM(E26,F26)/(M26+0.1))/100</f>
        <v>5604.4</v>
      </c>
      <c r="AC26" s="18">
        <f>(SUM(E26,F26)/(N26+0.1))/100</f>
        <v>5604.4</v>
      </c>
    </row>
    <row r="27">
      <c r="X27" s="1"/>
      <c r="Y27" s="1"/>
    </row>
    <row r="28">
      <c r="B28" s="11" t="s">
        <v>56</v>
      </c>
    </row>
  </sheetData>
  <pageMargins left="0.699999988079071" right="0.699999988079071" top="0.75" bottom="0.75" header="0.30000001192092896" footer="0.30000001192092896"/>
  <pageSetup paperSize="9" orientation="portrait" r:id="rId1"/>
  <legacyDrawing r:id="rId3"/>
</worksheet>
</file>

<file path=xl/worksheets/sheet2.xml><?xml version="1.0" encoding="utf-8"?>
<worksheet xmlns="http://schemas.openxmlformats.org/spreadsheetml/2006/main" xmlns:r="http://schemas.openxmlformats.org/officeDocument/2006/relationships">
  <dimension ref="A1:AC21"/>
  <sheetViews>
    <sheetView zoomScale="70" zoomScaleNormal="70" topLeftCell="M1" workbookViewId="0">
      <selection activeCell="AA7" sqref="AA7"/>
    </sheetView>
  </sheetViews>
  <sheetFormatPr defaultColWidth="11.421875" defaultRowHeight="15"/>
  <cols>
    <col min="1" max="1" width="5.421875" customWidth="1"/>
    <col min="2" max="2" width="27.57421875" customWidth="1"/>
    <col min="3" max="3" width="37.7109375" customWidth="1"/>
    <col min="4" max="4" width="33.421875" customWidth="1"/>
    <col min="5" max="5" width="37.00390625" customWidth="1"/>
    <col min="6" max="6" width="37.28125" customWidth="1"/>
    <col min="7" max="7" width="24.57421875" customWidth="1"/>
    <col min="8" max="8" width="20.140625" customWidth="1"/>
    <col min="9" max="9" width="19.140625" customWidth="1"/>
    <col min="10" max="10" width="17.421875" customWidth="1"/>
    <col min="11" max="11" width="24.28125" customWidth="1"/>
    <col min="12" max="15" width="16.8515625" customWidth="1"/>
    <col min="16" max="16" width="27.28125" customWidth="1"/>
    <col min="17" max="17" width="23.57421875" customWidth="1"/>
    <col min="18" max="18" width="22.28125" customWidth="1"/>
    <col min="19" max="19" width="18.57421875" customWidth="1"/>
    <col min="20" max="20" width="15.421875" customWidth="1"/>
    <col min="21" max="24" width="18.421875" customWidth="1"/>
    <col min="25" max="25" width="20.140625" customWidth="1"/>
    <col min="26" max="26" width="19.140625" customWidth="1"/>
    <col min="27" max="27" width="27.7109375" customWidth="1"/>
    <col min="28" max="28" width="23.140625" customWidth="1"/>
    <col min="29" max="29" width="19.00390625" customWidth="1"/>
  </cols>
  <sheetData>
    <row r="1" ht="75">
      <c r="A1" s="3" t="s">
        <v>0</v>
      </c>
      <c r="B1" s="3" t="s">
        <v>1</v>
      </c>
      <c r="C1" s="3" t="s">
        <v>2</v>
      </c>
      <c r="D1" s="3" t="s">
        <v>3</v>
      </c>
      <c r="E1" s="3" t="s">
        <v>4</v>
      </c>
      <c r="F1" s="3" t="s">
        <v>5</v>
      </c>
      <c r="G1" s="3" t="s">
        <v>6</v>
      </c>
      <c r="H1" s="3" t="s">
        <v>7</v>
      </c>
      <c r="I1" s="3" t="s">
        <v>8</v>
      </c>
      <c r="J1" s="3" t="s">
        <v>9</v>
      </c>
      <c r="K1" s="7" t="s">
        <v>10</v>
      </c>
      <c r="L1" s="7" t="s">
        <v>11</v>
      </c>
      <c r="M1" s="7" t="s">
        <v>12</v>
      </c>
      <c r="N1" s="7" t="s">
        <v>13</v>
      </c>
      <c r="O1" s="6" t="s">
        <v>14</v>
      </c>
      <c r="P1" s="6" t="s">
        <v>15</v>
      </c>
      <c r="Q1" s="6" t="s">
        <v>16</v>
      </c>
      <c r="R1" s="6" t="s">
        <v>17</v>
      </c>
      <c r="S1" s="3" t="s">
        <v>18</v>
      </c>
      <c r="T1" s="3" t="s">
        <v>19</v>
      </c>
      <c r="U1" s="3" t="s">
        <v>57</v>
      </c>
      <c r="V1" s="3" t="s">
        <v>58</v>
      </c>
      <c r="W1" s="3" t="s">
        <v>58</v>
      </c>
      <c r="X1" s="3" t="s">
        <v>24</v>
      </c>
      <c r="Y1" s="3" t="s">
        <v>23</v>
      </c>
      <c r="Z1" s="3" t="s">
        <v>25</v>
      </c>
      <c r="AA1" s="3" t="s">
        <v>26</v>
      </c>
      <c r="AB1" s="3" t="s">
        <v>27</v>
      </c>
      <c r="AC1" s="31" t="s">
        <v>28</v>
      </c>
    </row>
    <row r="2">
      <c r="A2" s="5">
        <f>'Atracción 1.1 (TripAdvisor)'!A26+1</f>
        <v>26</v>
      </c>
      <c r="B2" s="5" t="s">
        <v>29</v>
      </c>
      <c r="C2" s="22" t="s">
        <v>59</v>
      </c>
      <c r="D2" s="22" t="s">
        <v>60</v>
      </c>
      <c r="E2" s="16">
        <v>1503</v>
      </c>
      <c r="F2" s="16">
        <v>1</v>
      </c>
      <c r="G2" s="16">
        <v>4.3</v>
      </c>
      <c r="H2" s="16">
        <v>0</v>
      </c>
      <c r="I2" s="16">
        <f>((G2*E2)+(H2*F2))/SUM(E2,F2)</f>
        <v>4.297140957446809</v>
      </c>
      <c r="J2" s="16" t="s">
        <v>61</v>
      </c>
      <c r="K2" s="16">
        <v>806</v>
      </c>
      <c r="L2" s="16">
        <v>0</v>
      </c>
      <c r="M2" s="16">
        <v>0</v>
      </c>
      <c r="N2" s="12">
        <f>(K2*0.5)+(L2*0.4)+(M2*0.1)</f>
        <v>403</v>
      </c>
      <c r="O2" s="16">
        <v>1540</v>
      </c>
      <c r="P2" s="14">
        <f>ABS(G2-H2)</f>
        <v>4.3</v>
      </c>
      <c r="Q2" s="14">
        <f>ABS(H2-I2)</f>
        <v>4.297140957446809</v>
      </c>
      <c r="R2" s="14">
        <f>ABS(H2-I2)</f>
        <v>4.297140957446809</v>
      </c>
      <c r="S2" s="15">
        <f>SUM(E2,F2)/O2</f>
        <v>0.9766233766233766</v>
      </c>
      <c r="T2" s="15">
        <f>LOG10(E2+F2)*I2</f>
        <v>13.65308180913329</v>
      </c>
      <c r="U2" s="15">
        <f>(K2/O2)*100</f>
        <v>52.33766233766234</v>
      </c>
      <c r="V2" s="15">
        <f>(L2/O2)*100</f>
        <v>0</v>
      </c>
      <c r="W2" s="15">
        <f>(M2/O2)*100</f>
        <v>0</v>
      </c>
      <c r="X2" s="15">
        <f>(N2/O2)*100</f>
        <v>26.16883116883117</v>
      </c>
      <c r="Y2" s="15">
        <f>E2/F2</f>
        <v>1503</v>
      </c>
      <c r="Z2" s="14">
        <f>(SUM(E2,F2)/(K2+0.1))/100</f>
        <v>0.018657734772360747</v>
      </c>
      <c r="AA2" s="14">
        <f>(SUM(E2,F2)/(L2+0.1))/100</f>
        <v>150.4</v>
      </c>
      <c r="AB2" s="14">
        <f>(SUM(E2,F2)/(M2+0.1))/100</f>
        <v>150.4</v>
      </c>
      <c r="AC2" s="14">
        <f>(SUM(E2,F2)/(N2+0.1))/100</f>
        <v>0.0373108409823865</v>
      </c>
    </row>
    <row r="3">
      <c r="A3" s="8">
        <f>A2+1</f>
        <v>27</v>
      </c>
      <c r="B3" s="5" t="s">
        <v>29</v>
      </c>
      <c r="C3" s="23" t="s">
        <v>62</v>
      </c>
      <c r="D3" s="22" t="s">
        <v>60</v>
      </c>
      <c r="E3" s="17">
        <v>52</v>
      </c>
      <c r="F3" s="17">
        <v>657</v>
      </c>
      <c r="G3" s="17">
        <v>4.8</v>
      </c>
      <c r="H3" s="17">
        <v>4.4</v>
      </c>
      <c r="I3" s="16">
        <f>((G3*E3)+(H3*F3))/SUM(E3,F3)</f>
        <v>4.429337094499295</v>
      </c>
      <c r="J3" s="17">
        <v>40</v>
      </c>
      <c r="K3" s="17">
        <v>537</v>
      </c>
      <c r="L3" s="17">
        <v>93</v>
      </c>
      <c r="M3" s="17">
        <v>0</v>
      </c>
      <c r="N3" s="12">
        <f>(K3*0.5)+(L3*0.4)+(M3*0.1)</f>
        <v>305.7</v>
      </c>
      <c r="O3" s="17">
        <v>1700</v>
      </c>
      <c r="P3" s="14">
        <f>ABS(G3-H3)</f>
        <v>0.39999999999999947</v>
      </c>
      <c r="Q3" s="14">
        <f>ABS(H3-I3)</f>
        <v>0.029337094499294558</v>
      </c>
      <c r="R3" s="14">
        <f>ABS(H3-I3)</f>
        <v>0.029337094499294558</v>
      </c>
      <c r="S3" s="15">
        <f>SUM(E3,F3)/O3</f>
        <v>0.41705882352941176</v>
      </c>
      <c r="T3" s="15">
        <f>LOG10(E3+F3)*I3</f>
        <v>12.626473112791118</v>
      </c>
      <c r="U3" s="15">
        <f>(K3/O3)*100</f>
        <v>31.588235294117645</v>
      </c>
      <c r="V3" s="15">
        <f>(L3/O3)*100</f>
        <v>5.470588235294118</v>
      </c>
      <c r="W3" s="15">
        <f>(M3/O3)*100</f>
        <v>0</v>
      </c>
      <c r="X3" s="15">
        <f>(N3/O3)*100</f>
        <v>17.98235294117647</v>
      </c>
      <c r="Y3" s="15">
        <f>E3/F3</f>
        <v>0.0791476407914764</v>
      </c>
      <c r="Z3" s="14">
        <f>(SUM(E3,F3)/(K3+0.1))/100</f>
        <v>0.013200521318190281</v>
      </c>
      <c r="AA3" s="14">
        <f>(SUM(E3,F3)/(L3+0.1))/100</f>
        <v>0.0761546723952739</v>
      </c>
      <c r="AB3" s="14">
        <f>(SUM(E3,F3)/(M3+0.1))/100</f>
        <v>70.9</v>
      </c>
      <c r="AC3" s="14">
        <f>(SUM(E3,F3)/(N3+0.1))/100</f>
        <v>0.023185088293001963</v>
      </c>
    </row>
    <row r="4">
      <c r="A4" s="8">
        <f>A3+1</f>
        <v>28</v>
      </c>
      <c r="B4" s="5" t="s">
        <v>29</v>
      </c>
      <c r="C4" s="22" t="s">
        <v>63</v>
      </c>
      <c r="D4" s="22" t="s">
        <v>60</v>
      </c>
      <c r="E4" s="16">
        <v>165</v>
      </c>
      <c r="F4" s="16">
        <v>3</v>
      </c>
      <c r="G4" s="17">
        <v>4.8</v>
      </c>
      <c r="H4" s="16">
        <v>4.3</v>
      </c>
      <c r="I4" s="16">
        <f>((G4*E4)+(H4*F4))/SUM(E4,F4)</f>
        <v>4.791071428571429</v>
      </c>
      <c r="J4" s="16">
        <v>254</v>
      </c>
      <c r="K4" s="16">
        <v>347</v>
      </c>
      <c r="L4" s="16">
        <v>0</v>
      </c>
      <c r="M4" s="16">
        <v>0</v>
      </c>
      <c r="N4" s="12">
        <f>(K4*0.5)+(L4*0.4)+(M4*0.1)</f>
        <v>173.5</v>
      </c>
      <c r="O4" s="16">
        <v>1250</v>
      </c>
      <c r="P4" s="14">
        <f>ABS(G4-H4)</f>
        <v>0.5</v>
      </c>
      <c r="Q4" s="14">
        <f>ABS(H4-I4)</f>
        <v>0.4910714285714288</v>
      </c>
      <c r="R4" s="14">
        <f>ABS(H4-I4)</f>
        <v>0.4910714285714288</v>
      </c>
      <c r="S4" s="15">
        <f>SUM(E4,F4)/O4</f>
        <v>0.1344</v>
      </c>
      <c r="T4" s="15">
        <f>LOG10(E4+F4)*I4</f>
        <v>10.66161571941159</v>
      </c>
      <c r="U4" s="15">
        <f>(K4/O4)*100</f>
        <v>27.76</v>
      </c>
      <c r="V4" s="15">
        <f>(L4/O4)*100</f>
        <v>0</v>
      </c>
      <c r="W4" s="15">
        <f>(M4/O4)*100</f>
        <v>0</v>
      </c>
      <c r="X4" s="15">
        <f>(N4/O4)*100</f>
        <v>13.88</v>
      </c>
      <c r="Y4" s="15">
        <f>E4/F4</f>
        <v>55</v>
      </c>
      <c r="Z4" s="14">
        <f>(SUM(E4,F4)/(K4+0.1))/100</f>
        <v>0.0048401037165082105</v>
      </c>
      <c r="AA4" s="14">
        <f>(SUM(E4,F4)/(L4+0.1))/100</f>
        <v>16.8</v>
      </c>
      <c r="AB4" s="14">
        <f>(SUM(E4,F4)/(M4+0.1))/100</f>
        <v>16.8</v>
      </c>
      <c r="AC4" s="14">
        <f>(SUM(E4,F4)/(N4+0.1))/100</f>
        <v>0.00967741935483871</v>
      </c>
    </row>
    <row r="5">
      <c r="A5" s="8">
        <f>A4+1</f>
        <v>29</v>
      </c>
      <c r="B5" s="5" t="s">
        <v>29</v>
      </c>
      <c r="C5" s="22" t="s">
        <v>64</v>
      </c>
      <c r="D5" s="22" t="s">
        <v>60</v>
      </c>
      <c r="E5" s="16">
        <v>21</v>
      </c>
      <c r="F5" s="16">
        <v>1</v>
      </c>
      <c r="G5" s="16">
        <v>4.5</v>
      </c>
      <c r="H5" s="16">
        <v>0</v>
      </c>
      <c r="I5" s="16">
        <f>((G5*E5)+(H5*F5))/SUM(E5,F5)</f>
        <v>4.295454545454546</v>
      </c>
      <c r="J5" s="16" t="s">
        <v>61</v>
      </c>
      <c r="K5" s="16">
        <v>182</v>
      </c>
      <c r="L5" s="16">
        <v>0</v>
      </c>
      <c r="M5" s="16">
        <v>0</v>
      </c>
      <c r="N5" s="12">
        <f>(K5*0.5)+(L5*0.4)+(M5*0.1)</f>
        <v>91</v>
      </c>
      <c r="O5" s="16">
        <v>864</v>
      </c>
      <c r="P5" s="14">
        <f>ABS(G5-H5)</f>
        <v>4.5</v>
      </c>
      <c r="Q5" s="14">
        <f>ABS(H5-I5)</f>
        <v>4.295454545454546</v>
      </c>
      <c r="R5" s="14">
        <f>ABS(H5-I5)</f>
        <v>4.295454545454546</v>
      </c>
      <c r="S5" s="15">
        <f>SUM(E5,F5)/O5</f>
        <v>0.02546296296296296</v>
      </c>
      <c r="T5" s="15">
        <f>LOG10(E5+F5)*I5</f>
        <v>5.766315606259022</v>
      </c>
      <c r="U5" s="15">
        <f>(K5/O5)*100</f>
        <v>21.064814814814813</v>
      </c>
      <c r="V5" s="15">
        <f>(L5/O5)*100</f>
        <v>0</v>
      </c>
      <c r="W5" s="15">
        <f>(M5/O5)*100</f>
        <v>0</v>
      </c>
      <c r="X5" s="15">
        <f>(N5/O5)*100</f>
        <v>10.532407407407407</v>
      </c>
      <c r="Y5" s="15">
        <f>E5/F5</f>
        <v>21</v>
      </c>
      <c r="Z5" s="14">
        <f>(SUM(E5,F5)/(K5+0.1))/100</f>
        <v>0.0012081274025260845</v>
      </c>
      <c r="AA5" s="14">
        <f>(SUM(E5,F5)/(L5+0.1))/100</f>
        <v>2.2</v>
      </c>
      <c r="AB5" s="14">
        <f>(SUM(E5,F5)/(M5+0.1))/100</f>
        <v>2.2</v>
      </c>
      <c r="AC5" s="14">
        <f>(SUM(E5,F5)/(N5+0.1))/100</f>
        <v>0.002414928649835346</v>
      </c>
    </row>
    <row r="6">
      <c r="A6" s="8">
        <f>A5+1</f>
        <v>30</v>
      </c>
      <c r="B6" s="5" t="s">
        <v>29</v>
      </c>
      <c r="C6" s="22" t="s">
        <v>65</v>
      </c>
      <c r="D6" s="22" t="s">
        <v>60</v>
      </c>
      <c r="E6" s="16">
        <v>46</v>
      </c>
      <c r="F6" s="16">
        <v>17</v>
      </c>
      <c r="G6" s="14">
        <v>4.7</v>
      </c>
      <c r="H6" s="16">
        <v>3.7</v>
      </c>
      <c r="I6" s="16">
        <f>((G6*E6)+(H6*F6))/SUM(E6,F6)</f>
        <v>4.43015873015873</v>
      </c>
      <c r="J6" s="14">
        <v>187</v>
      </c>
      <c r="K6" s="16">
        <v>13</v>
      </c>
      <c r="L6" s="16">
        <v>390</v>
      </c>
      <c r="M6" s="16">
        <v>0</v>
      </c>
      <c r="N6" s="12">
        <f>(K6*0.5)+(L6*0.4)+(M6*0.1)</f>
        <v>162.5</v>
      </c>
      <c r="O6" s="14">
        <v>671</v>
      </c>
      <c r="P6" s="14">
        <f>ABS(G6-H6)</f>
        <v>1</v>
      </c>
      <c r="Q6" s="14">
        <f>ABS(H6-I6)</f>
        <v>0.7301587301587302</v>
      </c>
      <c r="R6" s="14">
        <f>ABS(H6-I6)</f>
        <v>0.7301587301587302</v>
      </c>
      <c r="S6" s="15">
        <f>SUM(E6,F6)/O6</f>
        <v>0.09388971684053651</v>
      </c>
      <c r="T6" s="15">
        <f>LOG10(E6+F6)*I6</f>
        <v>7.971364243690392</v>
      </c>
      <c r="U6" s="15">
        <f>(K6/O6)*100</f>
        <v>1.9374068554396422</v>
      </c>
      <c r="V6" s="15">
        <f>(L6/O6)*100</f>
        <v>58.12220566318928</v>
      </c>
      <c r="W6" s="15">
        <f>(M6/O6)*100</f>
        <v>0</v>
      </c>
      <c r="X6" s="15">
        <f>(N6/O6)*100</f>
        <v>24.21758569299553</v>
      </c>
      <c r="Y6" s="14">
        <f>E6/F6</f>
        <v>2.7058823529411766</v>
      </c>
      <c r="Z6" s="14">
        <f>(SUM(E6,F6)/(K6+0.1))/100</f>
        <v>0.048091603053435114</v>
      </c>
      <c r="AA6" s="14">
        <f>(SUM(E6,F6)/(L6+0.1))/100</f>
        <v>0.0016149705203793898</v>
      </c>
      <c r="AB6" s="14">
        <f>(SUM(E6,F6)/(M6+0.1))/100</f>
        <v>6.3</v>
      </c>
      <c r="AC6" s="14">
        <f>(SUM(E6,F6)/(N6+0.1))/100</f>
        <v>0.0038745387453874543</v>
      </c>
    </row>
    <row r="7">
      <c r="A7" s="8">
        <f>A6+1</f>
        <v>31</v>
      </c>
      <c r="B7" s="5" t="s">
        <v>29</v>
      </c>
      <c r="C7" s="22" t="s">
        <v>66</v>
      </c>
      <c r="D7" s="22" t="s">
        <v>60</v>
      </c>
      <c r="E7" s="16">
        <v>64</v>
      </c>
      <c r="F7" s="16">
        <v>1</v>
      </c>
      <c r="G7" s="14">
        <v>4.5</v>
      </c>
      <c r="H7" s="16">
        <v>0</v>
      </c>
      <c r="I7" s="16">
        <f>((G7*E7)+(H7*F7))/SUM(E7,F7)</f>
        <v>4.430769230769231</v>
      </c>
      <c r="J7" s="14" t="s">
        <v>61</v>
      </c>
      <c r="K7" s="16">
        <v>0</v>
      </c>
      <c r="L7" s="16">
        <v>272</v>
      </c>
      <c r="M7" s="16">
        <v>50</v>
      </c>
      <c r="N7" s="12">
        <f>(K7*0.5)+(L7*0.4)+(M7*0.1)</f>
        <v>113.80000000000001</v>
      </c>
      <c r="O7" s="14">
        <v>363</v>
      </c>
      <c r="P7" s="14">
        <f>ABS(G7-H7)</f>
        <v>4.5</v>
      </c>
      <c r="Q7" s="14">
        <f>ABS(H7-I7)</f>
        <v>4.430769230769231</v>
      </c>
      <c r="R7" s="14">
        <f>ABS(H7-I7)</f>
        <v>4.430769230769231</v>
      </c>
      <c r="S7" s="15">
        <f>SUM(E7,F7)/O7</f>
        <v>0.1790633608815427</v>
      </c>
      <c r="T7" s="15">
        <f>LOG10(E7+F7)*I7</f>
        <v>8.03260071866373</v>
      </c>
      <c r="U7" s="15">
        <f>(K7/O7)*100</f>
        <v>0</v>
      </c>
      <c r="V7" s="15">
        <f>(L7/O7)*100</f>
        <v>74.93112947658402</v>
      </c>
      <c r="W7" s="15">
        <f>(M7/O7)*100</f>
        <v>13.774104683195592</v>
      </c>
      <c r="X7" s="15">
        <f>(N7/O7)*100</f>
        <v>31.34986225895317</v>
      </c>
      <c r="Y7" s="15">
        <f>E7/F7</f>
        <v>64</v>
      </c>
      <c r="Z7" s="14">
        <f>(SUM(E7,F7)/(K7+0.1))/100</f>
        <v>6.5</v>
      </c>
      <c r="AA7" s="14">
        <f>(SUM(E7,F7)/(L7+0.1))/100</f>
        <v>0.0023888276368981987</v>
      </c>
      <c r="AB7" s="14">
        <f>(SUM(E7,F7)/(M7+0.1))/100</f>
        <v>0.012974051896207584</v>
      </c>
      <c r="AC7" s="14">
        <f>(SUM(E7,F7)/(N7+0.1))/100</f>
        <v>0.005706760316066725</v>
      </c>
    </row>
    <row r="8">
      <c r="A8" s="8">
        <f>A7+1</f>
        <v>32</v>
      </c>
      <c r="B8" s="5" t="s">
        <v>29</v>
      </c>
      <c r="C8" s="22" t="s">
        <v>67</v>
      </c>
      <c r="D8" s="22" t="s">
        <v>60</v>
      </c>
      <c r="E8" s="16">
        <v>388</v>
      </c>
      <c r="F8" s="16">
        <v>1</v>
      </c>
      <c r="G8" s="14">
        <v>4.4</v>
      </c>
      <c r="H8" s="16">
        <v>5</v>
      </c>
      <c r="I8" s="16">
        <f>((G8*E8)+(H8*F8))/SUM(E8,F8)</f>
        <v>4.401542416452442</v>
      </c>
      <c r="J8" s="14">
        <v>355</v>
      </c>
      <c r="K8" s="16">
        <v>0</v>
      </c>
      <c r="L8" s="16">
        <v>183</v>
      </c>
      <c r="M8" s="16">
        <v>133</v>
      </c>
      <c r="N8" s="12">
        <f>(K8*0.5)+(L8*0.4)+(M8*0.1)</f>
        <v>86.5</v>
      </c>
      <c r="O8" s="14">
        <v>1520</v>
      </c>
      <c r="P8" s="14">
        <f>ABS(G8-H8)</f>
        <v>0.5999999999999996</v>
      </c>
      <c r="Q8" s="14">
        <f>ABS(H8-I8)</f>
        <v>0.5984575835475576</v>
      </c>
      <c r="R8" s="14">
        <f>ABS(H8-I8)</f>
        <v>0.5984575835475576</v>
      </c>
      <c r="S8" s="15">
        <f>SUM(E8,F8)/O8</f>
        <v>0.25592105263157894</v>
      </c>
      <c r="T8" s="15">
        <f>LOG10(E8+F8)*I8</f>
        <v>11.399773026709195</v>
      </c>
      <c r="U8" s="15">
        <f>(K8/O8)*100</f>
        <v>0</v>
      </c>
      <c r="V8" s="15">
        <f>(L8/O8)*100</f>
        <v>12.039473684210526</v>
      </c>
      <c r="W8" s="15">
        <f>(M8/O8)*100</f>
        <v>8.75</v>
      </c>
      <c r="X8" s="15">
        <f>(N8/O8)*100</f>
        <v>5.690789473684211</v>
      </c>
      <c r="Y8" s="15">
        <f>E8/F8</f>
        <v>388</v>
      </c>
      <c r="Z8" s="14">
        <f>(SUM(E8,F8)/(K8+0.1))/100</f>
        <v>38.9</v>
      </c>
      <c r="AA8" s="14">
        <f>(SUM(E8,F8)/(L8+0.1))/100</f>
        <v>0.021245221190606223</v>
      </c>
      <c r="AB8" s="14">
        <f>(SUM(E8,F8)/(M8+0.1))/100</f>
        <v>0.02922614575507138</v>
      </c>
      <c r="AC8" s="14">
        <f>(SUM(E8,F8)/(N8+0.1))/100</f>
        <v>0.044919168591224024</v>
      </c>
    </row>
    <row r="9">
      <c r="A9" s="8">
        <f>A8+1</f>
        <v>33</v>
      </c>
      <c r="B9" s="5" t="s">
        <v>29</v>
      </c>
      <c r="C9" s="22" t="s">
        <v>68</v>
      </c>
      <c r="D9" s="22" t="s">
        <v>60</v>
      </c>
      <c r="E9" s="16">
        <v>4300</v>
      </c>
      <c r="F9" s="16">
        <v>42</v>
      </c>
      <c r="G9" s="14">
        <v>4.5</v>
      </c>
      <c r="H9" s="16">
        <v>3.8</v>
      </c>
      <c r="I9" s="16">
        <f>((G9*E9)+(H9*F9))/SUM(E9,F9)</f>
        <v>4.49322892676186</v>
      </c>
      <c r="J9" s="14">
        <v>107</v>
      </c>
      <c r="K9" s="16">
        <v>33</v>
      </c>
      <c r="L9" s="16">
        <v>163</v>
      </c>
      <c r="M9" s="16">
        <v>150</v>
      </c>
      <c r="N9" s="12">
        <f>(K9*0.5)+(L9*0.4)+(M9*0.1)</f>
        <v>96.7</v>
      </c>
      <c r="O9" s="14">
        <v>1870</v>
      </c>
      <c r="P9" s="14">
        <f>ABS(G9-H9)</f>
        <v>0.7000000000000002</v>
      </c>
      <c r="Q9" s="14">
        <f>ABS(H9-I9)</f>
        <v>0.6932289267618605</v>
      </c>
      <c r="R9" s="14">
        <f>ABS(H9-I9)</f>
        <v>0.6932289267618605</v>
      </c>
      <c r="S9" s="15">
        <f>SUM(E9,F9)/O9</f>
        <v>2.3219251336898394</v>
      </c>
      <c r="T9" s="15">
        <f>LOG10(E9+F9)*I9</f>
        <v>16.344973121849918</v>
      </c>
      <c r="U9" s="15">
        <f>(K9/O9)*100</f>
        <v>1.7647058823529411</v>
      </c>
      <c r="V9" s="15">
        <f>(L9/O9)*100</f>
        <v>8.71657754010695</v>
      </c>
      <c r="W9" s="15">
        <f>(M9/O9)*100</f>
        <v>8.02139037433155</v>
      </c>
      <c r="X9" s="15">
        <f>(N9/O9)*100</f>
        <v>5.171122994652406</v>
      </c>
      <c r="Y9" s="15">
        <f>E9/F9</f>
        <v>102.38095238095238</v>
      </c>
      <c r="Z9" s="14">
        <f>(SUM(E9,F9)/(K9+0.1))/100</f>
        <v>1.3117824773413898</v>
      </c>
      <c r="AA9" s="14">
        <f>(SUM(E9,F9)/(L9+0.1))/100</f>
        <v>0.2662170447578173</v>
      </c>
      <c r="AB9" s="14">
        <f>(SUM(E9,F9)/(M9+0.1))/100</f>
        <v>0.28927381745503</v>
      </c>
      <c r="AC9" s="14">
        <f>(SUM(E9,F9)/(N9+0.1))/100</f>
        <v>0.44855371900826446</v>
      </c>
    </row>
    <row r="10">
      <c r="A10" s="8">
        <f>A9+1</f>
        <v>34</v>
      </c>
      <c r="B10" s="5" t="s">
        <v>29</v>
      </c>
      <c r="C10" s="22" t="s">
        <v>69</v>
      </c>
      <c r="D10" s="22" t="s">
        <v>60</v>
      </c>
      <c r="E10" s="16">
        <v>1</v>
      </c>
      <c r="F10" s="16">
        <v>1</v>
      </c>
      <c r="G10" s="14">
        <v>1</v>
      </c>
      <c r="H10" s="16">
        <v>0</v>
      </c>
      <c r="I10" s="16">
        <f>((G10*E10)+(H10*F10))/SUM(E10,F10)</f>
        <v>0.5</v>
      </c>
      <c r="J10" s="14" t="s">
        <v>61</v>
      </c>
      <c r="K10" s="16">
        <v>0</v>
      </c>
      <c r="L10" s="16">
        <v>140</v>
      </c>
      <c r="M10" s="16">
        <v>0</v>
      </c>
      <c r="N10" s="12">
        <f>(K10*0.5)+(L10*0.4)+(M10*0.1)</f>
        <v>56</v>
      </c>
      <c r="O10" s="14">
        <v>1140</v>
      </c>
      <c r="P10" s="14">
        <f>ABS(G10-H10)</f>
        <v>1</v>
      </c>
      <c r="Q10" s="14">
        <f>ABS(H10-I10)</f>
        <v>0.5</v>
      </c>
      <c r="R10" s="14">
        <f>ABS(H10-I10)</f>
        <v>0.5</v>
      </c>
      <c r="S10" s="15">
        <f>SUM(E10,F10)/O10</f>
        <v>0.0017543859649122807</v>
      </c>
      <c r="T10" s="15">
        <f>LOG10(E10+F10)*I10</f>
        <v>0.1505149978319906</v>
      </c>
      <c r="U10" s="15">
        <f>(K10/O10)*100</f>
        <v>0</v>
      </c>
      <c r="V10" s="15">
        <f>(L10/O10)*100</f>
        <v>12.280701754385964</v>
      </c>
      <c r="W10" s="15">
        <f>(M10/O10)*100</f>
        <v>0</v>
      </c>
      <c r="X10" s="15">
        <f>(N10/O10)*100</f>
        <v>4.912280701754386</v>
      </c>
      <c r="Y10" s="15">
        <f>E10/F10</f>
        <v>1</v>
      </c>
      <c r="Z10" s="14">
        <f>(SUM(E10,F10)/(K10+0.1))/100</f>
        <v>0.2</v>
      </c>
      <c r="AA10" s="14">
        <f>(SUM(E10,F10)/(L10+0.1))/100</f>
        <v>0.00014275517487508923</v>
      </c>
      <c r="AB10" s="14">
        <f>(SUM(E10,F10)/(M10+0.1))/100</f>
        <v>0.2</v>
      </c>
      <c r="AC10" s="14">
        <f>(SUM(E10,F10)/(N10+0.1))/100</f>
        <v>0.00035650623885918</v>
      </c>
    </row>
    <row r="11">
      <c r="A11" s="8">
        <f>A10+1</f>
        <v>35</v>
      </c>
      <c r="B11" s="5" t="s">
        <v>29</v>
      </c>
      <c r="C11" s="22" t="s">
        <v>70</v>
      </c>
      <c r="D11" s="22" t="s">
        <v>60</v>
      </c>
      <c r="E11" s="16">
        <v>0</v>
      </c>
      <c r="F11" s="16">
        <v>1</v>
      </c>
      <c r="G11" s="14">
        <v>0</v>
      </c>
      <c r="H11" s="16">
        <v>0</v>
      </c>
      <c r="I11" s="16">
        <v>0</v>
      </c>
      <c r="J11" s="14" t="s">
        <v>61</v>
      </c>
      <c r="K11" s="16">
        <v>0</v>
      </c>
      <c r="L11" s="16">
        <v>112</v>
      </c>
      <c r="M11" s="16">
        <v>25</v>
      </c>
      <c r="N11" s="12">
        <f>(K11*0.5)+(L11*0.4)+(M11*0.1)</f>
        <v>47.300000000000004</v>
      </c>
      <c r="O11" s="14">
        <v>1560</v>
      </c>
      <c r="P11" s="14">
        <f>ABS(G11-H11)</f>
        <v>0</v>
      </c>
      <c r="Q11" s="14">
        <f>ABS(H11-I11)</f>
        <v>0</v>
      </c>
      <c r="R11" s="14">
        <f>ABS(H11-I11)</f>
        <v>0</v>
      </c>
      <c r="S11" s="15">
        <f>SUM(E11,F11)/O11</f>
        <v>0.000641025641025641</v>
      </c>
      <c r="T11" s="15">
        <v>0</v>
      </c>
      <c r="U11" s="15">
        <f>(K11/O11)*100</f>
        <v>0</v>
      </c>
      <c r="V11" s="15">
        <f>(L11/O11)*100</f>
        <v>7.179487179487179</v>
      </c>
      <c r="W11" s="15">
        <f>(M11/O11)*100</f>
        <v>1.6025641025641024</v>
      </c>
      <c r="X11" s="15">
        <f>(N11/O11)*100</f>
        <v>3.0320512820512824</v>
      </c>
      <c r="Y11" s="15">
        <f>E11/F11</f>
        <v>0</v>
      </c>
      <c r="Z11" s="14">
        <f>(SUM(E11,F11)/(K11+0.1))/100</f>
        <v>0.1</v>
      </c>
      <c r="AA11" s="14">
        <f>(SUM(E11,F11)/(L11+0.1))/100</f>
        <v>8.920606601248885E-5</v>
      </c>
      <c r="AB11" s="14">
        <f>(SUM(E11,F11)/(M11+0.1))/100</f>
        <v>0.00039840637450199205</v>
      </c>
      <c r="AC11" s="14">
        <f>(SUM(E11,F11)/(N11+0.1))/100</f>
        <v>0.0002109704641350211</v>
      </c>
    </row>
    <row r="21">
      <c r="B21" s="11" t="s">
        <v>56</v>
      </c>
    </row>
  </sheetData>
  <pageMargins left="0.699999988079071" right="0.699999988079071" top="0.75" bottom="0.75" header="0.30000001192092896" footer="0.30000001192092896"/>
  <pageSetup paperSize="9" orientation="portrait" r:id="rId1"/>
  <legacyDrawing r:id="rId3"/>
</worksheet>
</file>

<file path=xl/worksheets/sheet3.xml><?xml version="1.0" encoding="utf-8"?>
<worksheet xmlns="http://schemas.openxmlformats.org/spreadsheetml/2006/main" xmlns:r="http://schemas.openxmlformats.org/officeDocument/2006/relationships">
  <dimension ref="A1:AD37"/>
  <sheetViews>
    <sheetView zoomScale="85" zoomScaleNormal="85" topLeftCell="M1" workbookViewId="0">
      <selection activeCell="Q12" sqref="Q12"/>
    </sheetView>
  </sheetViews>
  <sheetFormatPr defaultColWidth="11.421875" defaultRowHeight="15"/>
  <cols>
    <col min="1" max="1" width="5.00390625" customWidth="1"/>
    <col min="2" max="2" width="17.57421875" customWidth="1"/>
    <col min="3" max="3" width="37.7109375" customWidth="1"/>
    <col min="4" max="4" width="15.421875" customWidth="1"/>
    <col min="5" max="5" width="18.28125" customWidth="1"/>
    <col min="6" max="6" width="15.28125" customWidth="1"/>
    <col min="7" max="7" width="17.8515625" customWidth="1"/>
    <col min="8" max="8" width="15.140625" customWidth="1"/>
    <col min="9" max="10" width="17.421875" customWidth="1"/>
    <col min="11" max="11" width="17.8515625" customWidth="1"/>
    <col min="12" max="13" width="15.7109375" customWidth="1"/>
    <col min="14" max="15" width="17.140625" customWidth="1"/>
    <col min="16" max="16" width="13.421875" customWidth="1"/>
    <col min="17" max="17" width="16.421875" customWidth="1"/>
    <col min="18" max="18" width="15.140625" customWidth="1"/>
    <col min="19" max="19" width="15.421875" customWidth="1"/>
    <col min="20" max="20" width="18.57421875" customWidth="1"/>
    <col min="21" max="21" width="17.28125" customWidth="1"/>
    <col min="22" max="22" width="18.00390625" customWidth="1"/>
    <col min="23" max="23" width="17.28125" customWidth="1"/>
    <col min="24" max="25" width="17.7109375" customWidth="1"/>
    <col min="26" max="26" width="16.8515625" customWidth="1"/>
    <col min="27" max="27" width="18.28125" customWidth="1"/>
    <col min="28" max="28" width="17.8515625" customWidth="1"/>
    <col min="29" max="29" width="16.7109375" customWidth="1"/>
    <col min="30" max="30" width="14.421875" customWidth="1"/>
  </cols>
  <sheetData>
    <row r="1" ht="96.75" customHeight="1">
      <c r="A1" s="26" t="s">
        <v>0</v>
      </c>
      <c r="B1" s="26" t="s">
        <v>1</v>
      </c>
      <c r="C1" s="26" t="s">
        <v>2</v>
      </c>
      <c r="D1" s="26" t="s">
        <v>3</v>
      </c>
      <c r="E1" s="26" t="s">
        <v>4</v>
      </c>
      <c r="F1" s="26" t="s">
        <v>5</v>
      </c>
      <c r="G1" s="26" t="s">
        <v>6</v>
      </c>
      <c r="H1" s="26" t="s">
        <v>7</v>
      </c>
      <c r="I1" s="26" t="s">
        <v>8</v>
      </c>
      <c r="J1" s="26" t="s">
        <v>71</v>
      </c>
      <c r="K1" s="26" t="s">
        <v>9</v>
      </c>
      <c r="L1" s="27" t="s">
        <v>10</v>
      </c>
      <c r="M1" s="27" t="s">
        <v>11</v>
      </c>
      <c r="N1" s="27" t="s">
        <v>12</v>
      </c>
      <c r="O1" s="27" t="s">
        <v>13</v>
      </c>
      <c r="P1" s="27" t="s">
        <v>14</v>
      </c>
      <c r="Q1" s="27" t="s">
        <v>15</v>
      </c>
      <c r="R1" s="27" t="s">
        <v>16</v>
      </c>
      <c r="S1" s="27" t="s">
        <v>17</v>
      </c>
      <c r="T1" s="26" t="s">
        <v>18</v>
      </c>
      <c r="U1" s="26" t="s">
        <v>19</v>
      </c>
      <c r="V1" s="26" t="s">
        <v>20</v>
      </c>
      <c r="W1" s="26" t="s">
        <v>21</v>
      </c>
      <c r="X1" s="26" t="s">
        <v>22</v>
      </c>
      <c r="Y1" s="26" t="s">
        <v>24</v>
      </c>
      <c r="Z1" s="26" t="s">
        <v>23</v>
      </c>
      <c r="AA1" s="26" t="s">
        <v>25</v>
      </c>
      <c r="AB1" s="26" t="s">
        <v>26</v>
      </c>
      <c r="AC1" s="26" t="s">
        <v>27</v>
      </c>
      <c r="AD1" s="30" t="s">
        <v>28</v>
      </c>
    </row>
    <row r="2" ht="30.75">
      <c r="A2" s="28">
        <v>1</v>
      </c>
      <c r="B2" s="24" t="s">
        <v>29</v>
      </c>
      <c r="C2" s="24" t="s">
        <v>30</v>
      </c>
      <c r="D2" s="24" t="s">
        <v>31</v>
      </c>
      <c r="E2" s="12">
        <v>181284</v>
      </c>
      <c r="F2" s="12">
        <v>45480</v>
      </c>
      <c r="G2" s="12">
        <v>4.8</v>
      </c>
      <c r="H2" s="12">
        <v>4.8</v>
      </c>
      <c r="I2" s="12">
        <f>((G2*E2)+(H2*F2))/SUM(E2,F2)</f>
        <v>4.8</v>
      </c>
      <c r="J2" s="12">
        <f>IF(K2&gt;0,1,0)</f>
        <v>1</v>
      </c>
      <c r="K2" s="12">
        <v>1</v>
      </c>
      <c r="L2" s="12">
        <v>0</v>
      </c>
      <c r="M2" s="12">
        <v>0</v>
      </c>
      <c r="N2" s="12">
        <v>0</v>
      </c>
      <c r="O2" s="12">
        <f>(L2*0.5)+(M2*0.4)+(N2*0.1)</f>
        <v>0</v>
      </c>
      <c r="P2" s="12">
        <v>1120</v>
      </c>
      <c r="Q2" s="18">
        <f>ABS(G2-H2)</f>
        <v>0</v>
      </c>
      <c r="R2" s="18">
        <f>ABS(H2-I2)</f>
        <v>0</v>
      </c>
      <c r="S2" s="18">
        <f>ABS(H2-I2)</f>
        <v>0</v>
      </c>
      <c r="T2" s="19">
        <f>SUM(E2,F2)/P2</f>
        <v>202.46785714285716</v>
      </c>
      <c r="U2" s="19">
        <f>LOG10(E2+F2)*I2</f>
        <v>25.706755723762367</v>
      </c>
      <c r="V2" s="19">
        <f>(L2/P2)*100</f>
        <v>0</v>
      </c>
      <c r="W2" s="19">
        <f>(M2/P2)*100</f>
        <v>0</v>
      </c>
      <c r="X2" s="19">
        <f>(N2/P2)*100</f>
        <v>0</v>
      </c>
      <c r="Y2" s="19">
        <f>(O2/P2)*100</f>
        <v>0</v>
      </c>
      <c r="Z2" s="19">
        <f>E2/F2</f>
        <v>3.986015831134565</v>
      </c>
      <c r="AA2" s="18">
        <f>(SUM(E2,F2)/(L2+0.1))/100</f>
        <v>22676.4</v>
      </c>
      <c r="AB2" s="18">
        <f>(SUM(E2,F2)/(M2+0.1))/100</f>
        <v>22676.4</v>
      </c>
      <c r="AC2" s="18">
        <f>(SUM(E2,F2)/(N2+0.1))/100</f>
        <v>22676.4</v>
      </c>
      <c r="AD2" s="18">
        <f>(SUM(E2,F2)/(O2+0.1))/100</f>
        <v>22676.4</v>
      </c>
    </row>
    <row r="3" ht="30.75">
      <c r="A3" s="29">
        <f>A2+1</f>
        <v>2</v>
      </c>
      <c r="B3" s="24" t="s">
        <v>29</v>
      </c>
      <c r="C3" s="25" t="s">
        <v>32</v>
      </c>
      <c r="D3" s="24" t="s">
        <v>31</v>
      </c>
      <c r="E3" s="13">
        <v>98150</v>
      </c>
      <c r="F3" s="13">
        <v>36806</v>
      </c>
      <c r="G3" s="13">
        <v>4.7</v>
      </c>
      <c r="H3" s="13">
        <v>4.7</v>
      </c>
      <c r="I3" s="12">
        <f>((G3*E3)+(H3*F3))/SUM(E3,F3)</f>
        <v>4.699999999999999</v>
      </c>
      <c r="J3" s="12">
        <f>IF(K3&gt;0,1,0)</f>
        <v>1</v>
      </c>
      <c r="K3" s="13">
        <v>2</v>
      </c>
      <c r="L3" s="13">
        <v>0</v>
      </c>
      <c r="M3" s="13">
        <v>0</v>
      </c>
      <c r="N3" s="13">
        <v>0</v>
      </c>
      <c r="O3" s="12">
        <f>(L3*0.5)+(M3*0.4)+(N3*0.1)</f>
        <v>0</v>
      </c>
      <c r="P3" s="13">
        <v>400</v>
      </c>
      <c r="Q3" s="18">
        <f>ABS(G3-H3)</f>
        <v>0</v>
      </c>
      <c r="R3" s="18">
        <f>ABS(G3-I3)</f>
        <v>8.881784197001252E-16</v>
      </c>
      <c r="S3" s="18">
        <f>ABS(H3-I3)</f>
        <v>8.881784197001252E-16</v>
      </c>
      <c r="T3" s="19">
        <f>SUM(E3,F3)/P3</f>
        <v>337.39</v>
      </c>
      <c r="U3" s="19">
        <f>LOG10(E3+F3)*I3</f>
        <v>24.111903328681457</v>
      </c>
      <c r="V3" s="19">
        <f>(L3/P3)*100</f>
        <v>0</v>
      </c>
      <c r="W3" s="19">
        <f>(M3/P3)*100</f>
        <v>0</v>
      </c>
      <c r="X3" s="19">
        <f>(N3/P3)*100</f>
        <v>0</v>
      </c>
      <c r="Y3" s="19">
        <f>(O3/P3)*100</f>
        <v>0</v>
      </c>
      <c r="Z3" s="19">
        <f>E3/F3</f>
        <v>2.666684779655491</v>
      </c>
      <c r="AA3" s="18">
        <f>(SUM(E3,F3)/(L3+0.1))/100</f>
        <v>13495.6</v>
      </c>
      <c r="AB3" s="18">
        <f>(SUM(E3,F3)/(M3+0.1))/100</f>
        <v>13495.6</v>
      </c>
      <c r="AC3" s="18">
        <f>(SUM(E3,F3)/(N3+0.1))/100</f>
        <v>13495.6</v>
      </c>
      <c r="AD3" s="18">
        <f>(SUM(E3,F3)/(O3+0.1))/100</f>
        <v>13495.6</v>
      </c>
    </row>
    <row r="4" ht="30.75">
      <c r="A4" s="29">
        <f>A3+1</f>
        <v>3</v>
      </c>
      <c r="B4" s="24" t="s">
        <v>29</v>
      </c>
      <c r="C4" s="24" t="s">
        <v>33</v>
      </c>
      <c r="D4" s="24" t="s">
        <v>31</v>
      </c>
      <c r="E4" s="12">
        <v>57330</v>
      </c>
      <c r="F4" s="12">
        <v>27294</v>
      </c>
      <c r="G4" s="12">
        <v>4.8</v>
      </c>
      <c r="H4" s="12">
        <v>4.6</v>
      </c>
      <c r="I4" s="12">
        <f>((G4*E4)+(H4*F4))/SUM(E4,F4)</f>
        <v>4.735493477027794</v>
      </c>
      <c r="J4" s="12">
        <f>IF(K4&gt;0,1,0)</f>
        <v>1</v>
      </c>
      <c r="K4" s="12">
        <v>3</v>
      </c>
      <c r="L4" s="12">
        <v>0</v>
      </c>
      <c r="M4" s="12">
        <v>0</v>
      </c>
      <c r="N4" s="12">
        <v>0</v>
      </c>
      <c r="O4" s="12">
        <f>(L4*0.5)+(M4*0.4)+(N4*0.1)</f>
        <v>0</v>
      </c>
      <c r="P4" s="12">
        <v>59</v>
      </c>
      <c r="Q4" s="18">
        <f>ABS(G4-H4)</f>
        <v>0.20000000000000018</v>
      </c>
      <c r="R4" s="18">
        <f>ABS(G4-I4)</f>
        <v>0.06450652297220572</v>
      </c>
      <c r="S4" s="18">
        <f>ABS(H4-I4)</f>
        <v>0.13549347702779446</v>
      </c>
      <c r="T4" s="19">
        <f>SUM(E4,F4)/P4</f>
        <v>1434.3050847457628</v>
      </c>
      <c r="U4" s="19">
        <f>LOG10(E4+F4)*I4</f>
        <v>23.334113562582065</v>
      </c>
      <c r="V4" s="19">
        <f>(L4/P4)*100</f>
        <v>0</v>
      </c>
      <c r="W4" s="19">
        <f>(M4/P4)*100</f>
        <v>0</v>
      </c>
      <c r="X4" s="19">
        <f>(N4/P4)*100</f>
        <v>0</v>
      </c>
      <c r="Y4" s="19">
        <f>(O4/P4)*100</f>
        <v>0</v>
      </c>
      <c r="Z4" s="19">
        <f>E4/F4</f>
        <v>2.1004616399208618</v>
      </c>
      <c r="AA4" s="18">
        <f>(SUM(E4,F4)/(L4+0.1))/100</f>
        <v>8462.4</v>
      </c>
      <c r="AB4" s="18">
        <f>(SUM(E4,F4)/(M4+0.1))/100</f>
        <v>8462.4</v>
      </c>
      <c r="AC4" s="18">
        <f>(SUM(E4,F4)/(N4+0.1))/100</f>
        <v>8462.4</v>
      </c>
      <c r="AD4" s="18">
        <f>(SUM(E4,F4)/(O4+0.1))/100</f>
        <v>8462.4</v>
      </c>
    </row>
    <row r="5" ht="30.75">
      <c r="A5" s="29">
        <f>A4+1</f>
        <v>4</v>
      </c>
      <c r="B5" s="24" t="s">
        <v>29</v>
      </c>
      <c r="C5" s="24" t="s">
        <v>34</v>
      </c>
      <c r="D5" s="24" t="s">
        <v>31</v>
      </c>
      <c r="E5" s="12">
        <v>105610</v>
      </c>
      <c r="F5" s="12">
        <v>11354</v>
      </c>
      <c r="G5" s="12">
        <v>4.4</v>
      </c>
      <c r="H5" s="12">
        <v>4</v>
      </c>
      <c r="I5" s="12">
        <f>((G5*E5)+(H5*F5))/SUM(E5,F5)</f>
        <v>4.361170958585548</v>
      </c>
      <c r="J5" s="12">
        <f>IF(K5&gt;0,1,0)</f>
        <v>1</v>
      </c>
      <c r="K5" s="12">
        <v>5</v>
      </c>
      <c r="L5" s="12">
        <v>150</v>
      </c>
      <c r="M5" s="12">
        <v>0</v>
      </c>
      <c r="N5" s="12">
        <v>0</v>
      </c>
      <c r="O5" s="12">
        <f>(L5*0.5)+(M5*0.4)+(N5*0.1)</f>
        <v>75</v>
      </c>
      <c r="P5" s="12">
        <v>793</v>
      </c>
      <c r="Q5" s="18">
        <f>ABS(G5-H5)</f>
        <v>0.40000000000000036</v>
      </c>
      <c r="R5" s="18">
        <f>ABS(G5-I5)</f>
        <v>0.03882904141445209</v>
      </c>
      <c r="S5" s="18">
        <f>ABS(H5-I5)</f>
        <v>0.36117095858554826</v>
      </c>
      <c r="T5" s="19">
        <f>SUM(E5,F5)/P5</f>
        <v>147.4955863808323</v>
      </c>
      <c r="U5" s="19">
        <f>LOG10(E5+F5)*I5</f>
        <v>22.102642124059276</v>
      </c>
      <c r="V5" s="19">
        <f>(L5/P5)*100</f>
        <v>18.915510718789406</v>
      </c>
      <c r="W5" s="19">
        <f>(M5/P5)*100</f>
        <v>0</v>
      </c>
      <c r="X5" s="19">
        <f>(N5/P5)*100</f>
        <v>0</v>
      </c>
      <c r="Y5" s="19">
        <f>(O5/P5)*100</f>
        <v>9.457755359394703</v>
      </c>
      <c r="Z5" s="19">
        <f>E5/F5</f>
        <v>9.301567729434561</v>
      </c>
      <c r="AA5" s="18">
        <f>(SUM(E5,F5)/(L5+0.1))/100</f>
        <v>7.792405063291139</v>
      </c>
      <c r="AB5" s="18">
        <f>(SUM(E5,F5)/(M5+0.1))/100</f>
        <v>11696.4</v>
      </c>
      <c r="AC5" s="18">
        <f>(SUM(E5,F5)/(N5+0.1))/100</f>
        <v>11696.4</v>
      </c>
      <c r="AD5" s="18">
        <f>(SUM(E5,F5)/(O5+0.1))/100</f>
        <v>15.574434087882823</v>
      </c>
    </row>
    <row r="6" ht="30.75">
      <c r="A6" s="29">
        <f>A5+1</f>
        <v>5</v>
      </c>
      <c r="B6" s="24" t="s">
        <v>29</v>
      </c>
      <c r="C6" s="24" t="s">
        <v>35</v>
      </c>
      <c r="D6" s="24" t="s">
        <v>31</v>
      </c>
      <c r="E6" s="12">
        <v>41265</v>
      </c>
      <c r="F6" s="12">
        <v>7162</v>
      </c>
      <c r="G6" s="12">
        <v>4.8</v>
      </c>
      <c r="H6" s="12">
        <v>4.5</v>
      </c>
      <c r="I6" s="12">
        <f>((G6*E6)+(H6*F6))/SUM(E6,F6)</f>
        <v>4.755632188655089</v>
      </c>
      <c r="J6" s="12">
        <f>IF(K6&gt;0,1,0)</f>
        <v>1</v>
      </c>
      <c r="K6" s="12">
        <v>6</v>
      </c>
      <c r="L6" s="12">
        <v>1500</v>
      </c>
      <c r="M6" s="12">
        <v>0</v>
      </c>
      <c r="N6" s="12">
        <v>0</v>
      </c>
      <c r="O6" s="12">
        <f>(L6*0.5)+(M6*0.4)+(N6*0.1)</f>
        <v>750</v>
      </c>
      <c r="P6" s="12">
        <v>1450</v>
      </c>
      <c r="Q6" s="18">
        <f>ABS(G6-H6)</f>
        <v>0.2999999999999998</v>
      </c>
      <c r="R6" s="18">
        <f>ABS(G6-I6)</f>
        <v>0.044367811344910635</v>
      </c>
      <c r="S6" s="18">
        <f>ABS(H6-I6)</f>
        <v>0.2556321886550892</v>
      </c>
      <c r="T6" s="19">
        <f>SUM(E6,F6)/P6</f>
        <v>33.39793103448276</v>
      </c>
      <c r="U6" s="19">
        <f>LOG10(E6+F6)*I6</f>
        <v>22.280553234628318</v>
      </c>
      <c r="V6" s="19">
        <f>(L6/P6)*100</f>
        <v>103.44827586206897</v>
      </c>
      <c r="W6" s="19">
        <f>(M6/P6)*100</f>
        <v>0</v>
      </c>
      <c r="X6" s="19">
        <f>(N6/P6)*100</f>
        <v>0</v>
      </c>
      <c r="Y6" s="19">
        <f>(O6/P6)*100</f>
        <v>51.724137931034484</v>
      </c>
      <c r="Z6" s="19">
        <f>E6/F6</f>
        <v>5.761658754537838</v>
      </c>
      <c r="AA6" s="18">
        <f>(SUM(E6,F6)/(L6+0.1))/100</f>
        <v>0.322825144990334</v>
      </c>
      <c r="AB6" s="18">
        <f>(SUM(E6,F6)/(M6+0.1))/100</f>
        <v>4842.7</v>
      </c>
      <c r="AC6" s="18">
        <f>(SUM(E6,F6)/(N6+0.1))/100</f>
        <v>4842.7</v>
      </c>
      <c r="AD6" s="18">
        <f>(SUM(E6,F6)/(O6+0.1))/100</f>
        <v>0.6456072523663511</v>
      </c>
    </row>
    <row r="7" ht="30.75">
      <c r="A7" s="29">
        <f>A6+1</f>
        <v>6</v>
      </c>
      <c r="B7" s="24" t="s">
        <v>29</v>
      </c>
      <c r="C7" s="24" t="s">
        <v>36</v>
      </c>
      <c r="D7" s="24" t="s">
        <v>31</v>
      </c>
      <c r="E7" s="12">
        <v>55912</v>
      </c>
      <c r="F7" s="12">
        <v>11034</v>
      </c>
      <c r="G7" s="12">
        <v>4.7</v>
      </c>
      <c r="H7" s="12">
        <v>4.6</v>
      </c>
      <c r="I7" s="12">
        <f>((G7*E7)+(H7*F7))/SUM(E7,F7)</f>
        <v>4.683518059331402</v>
      </c>
      <c r="J7" s="12">
        <f>IF(K7&gt;0,1,0)</f>
        <v>1</v>
      </c>
      <c r="K7" s="12">
        <v>7</v>
      </c>
      <c r="L7" s="12">
        <v>0</v>
      </c>
      <c r="M7" s="12">
        <v>1683</v>
      </c>
      <c r="N7" s="12">
        <v>100</v>
      </c>
      <c r="O7" s="12">
        <f>(L7*0.5)+(M7*0.4)+(N7*0.1)</f>
        <v>683.2</v>
      </c>
      <c r="P7" s="12">
        <v>0.01</v>
      </c>
      <c r="Q7" s="19">
        <f>ABS(G7-H7)</f>
        <v>0.10000000000000053</v>
      </c>
      <c r="R7" s="19">
        <f>ABS(G7-I7)</f>
        <v>0.016481940668597872</v>
      </c>
      <c r="S7" s="19">
        <f>ABS(H7-I7)</f>
        <v>0.08351805933140266</v>
      </c>
      <c r="T7" s="19">
        <f>SUM(E7,F7)/P7</f>
        <v>6694600</v>
      </c>
      <c r="U7" s="19">
        <f>LOG10(E7+F7)*I7</f>
        <v>22.601368468860684</v>
      </c>
      <c r="V7" s="19">
        <f>(L7/P7)*100</f>
        <v>0</v>
      </c>
      <c r="W7" s="19">
        <f>(M7/P7)*100</f>
        <v>16830000</v>
      </c>
      <c r="X7" s="19">
        <f>(N7/P7)*100</f>
        <v>1000000</v>
      </c>
      <c r="Y7" s="19">
        <f>(O7/P7)*100</f>
        <v>6832000</v>
      </c>
      <c r="Z7" s="19">
        <f>E7/F7</f>
        <v>5.067246692042777</v>
      </c>
      <c r="AA7" s="19">
        <f>(SUM(E7,F7)/(L7+0.1))/100</f>
        <v>6694.6</v>
      </c>
      <c r="AB7" s="19">
        <f>(SUM(E7,F7)/(M7+0.1))/100</f>
        <v>0.39775414413879157</v>
      </c>
      <c r="AC7" s="19">
        <f>(SUM(E7,F7)/(N7+0.1))/100</f>
        <v>6.687912087912089</v>
      </c>
      <c r="AD7" s="18">
        <f>(SUM(E7,F7)/(O7+0.1))/100</f>
        <v>0.9797453534318747</v>
      </c>
    </row>
    <row r="8" ht="30.75">
      <c r="A8" s="29">
        <f>A7+1</f>
        <v>7</v>
      </c>
      <c r="B8" s="24" t="s">
        <v>29</v>
      </c>
      <c r="C8" s="24" t="s">
        <v>37</v>
      </c>
      <c r="D8" s="24" t="s">
        <v>31</v>
      </c>
      <c r="E8" s="12">
        <v>13802</v>
      </c>
      <c r="F8" s="12">
        <v>3929</v>
      </c>
      <c r="G8" s="12">
        <v>4.4</v>
      </c>
      <c r="H8" s="12">
        <v>4.3</v>
      </c>
      <c r="I8" s="12">
        <f>((G8*E8)+(H8*F8))/SUM(E8,F8)</f>
        <v>4.377841069313631</v>
      </c>
      <c r="J8" s="12">
        <f>IF(K8&gt;0,1,0)</f>
        <v>1</v>
      </c>
      <c r="K8" s="12">
        <v>8</v>
      </c>
      <c r="L8" s="12">
        <v>0</v>
      </c>
      <c r="M8" s="12">
        <v>0</v>
      </c>
      <c r="N8" s="12">
        <v>0</v>
      </c>
      <c r="O8" s="12">
        <f>(L8*0.5)+(M8*0.4)+(N8*0.1)</f>
        <v>0</v>
      </c>
      <c r="P8" s="12">
        <v>641</v>
      </c>
      <c r="Q8" s="18">
        <f>ABS(G8-H8)</f>
        <v>0.10000000000000053</v>
      </c>
      <c r="R8" s="18">
        <f>ABS(G8-I8)</f>
        <v>0.022158930686368983</v>
      </c>
      <c r="S8" s="18">
        <f>ABS(H8-I8)</f>
        <v>0.07784106931363155</v>
      </c>
      <c r="T8" s="19">
        <f>SUM(E8,F8)/P8</f>
        <v>27.661466458658346</v>
      </c>
      <c r="U8" s="19">
        <f>LOG10(E8+F8)*I8</f>
        <v>18.600278825997027</v>
      </c>
      <c r="V8" s="19">
        <f>(L8/P8)*100</f>
        <v>0</v>
      </c>
      <c r="W8" s="19">
        <f>(M8/P8)*100</f>
        <v>0</v>
      </c>
      <c r="X8" s="19">
        <f>(N8/P8)*100</f>
        <v>0</v>
      </c>
      <c r="Y8" s="19">
        <f>(O8/P8)*100</f>
        <v>0</v>
      </c>
      <c r="Z8" s="19">
        <f>E8/F8</f>
        <v>3.512853143293459</v>
      </c>
      <c r="AA8" s="18">
        <f>(SUM(E8,F8)/(L8+0.1))/100</f>
        <v>1773.1</v>
      </c>
      <c r="AB8" s="18">
        <f>(SUM(E8,F8)/(M8+0.1))/100</f>
        <v>1773.1</v>
      </c>
      <c r="AC8" s="18">
        <f>(SUM(E8,F8)/(N8+0.1))/100</f>
        <v>1773.1</v>
      </c>
      <c r="AD8" s="18">
        <f>(SUM(E8,F8)/(O8+0.1))/100</f>
        <v>1773.1</v>
      </c>
    </row>
    <row r="9" ht="30.75">
      <c r="A9" s="29">
        <f>A8+1</f>
        <v>8</v>
      </c>
      <c r="B9" s="24" t="s">
        <v>29</v>
      </c>
      <c r="C9" s="24" t="s">
        <v>38</v>
      </c>
      <c r="D9" s="24" t="s">
        <v>31</v>
      </c>
      <c r="E9" s="12">
        <v>10654</v>
      </c>
      <c r="F9" s="12">
        <v>1132</v>
      </c>
      <c r="G9" s="12">
        <v>4.4</v>
      </c>
      <c r="H9" s="12">
        <v>4</v>
      </c>
      <c r="I9" s="12">
        <f>((G9*E9)+(H9*F9))/SUM(E9,F9)</f>
        <v>4.361581537417275</v>
      </c>
      <c r="J9" s="12">
        <f>IF(K9&gt;0,1,0)</f>
        <v>1</v>
      </c>
      <c r="K9" s="12">
        <v>11</v>
      </c>
      <c r="L9" s="12">
        <v>0</v>
      </c>
      <c r="M9" s="12">
        <v>0</v>
      </c>
      <c r="N9" s="12">
        <v>0</v>
      </c>
      <c r="O9" s="12">
        <f>(L9*0.5)+(M9*0.4)+(N9*0.1)</f>
        <v>0</v>
      </c>
      <c r="P9" s="12">
        <v>974</v>
      </c>
      <c r="Q9" s="18">
        <f>ABS(G9-H9)</f>
        <v>0.40000000000000036</v>
      </c>
      <c r="R9" s="18">
        <f>ABS(G9-I9)</f>
        <v>0.03841846258272508</v>
      </c>
      <c r="S9" s="18">
        <f>ABS(H9-I9)</f>
        <v>0.3615815374172753</v>
      </c>
      <c r="T9" s="19">
        <f>SUM(E9,F9)/P9</f>
        <v>12.100616016427105</v>
      </c>
      <c r="U9" s="19">
        <f>LOG10(E9+F9)*I9</f>
        <v>17.757596682628982</v>
      </c>
      <c r="V9" s="19">
        <f>(L9/P9)*100</f>
        <v>0</v>
      </c>
      <c r="W9" s="19">
        <f>(M9/P9)*100</f>
        <v>0</v>
      </c>
      <c r="X9" s="19">
        <f>(N9/P9)*100</f>
        <v>0</v>
      </c>
      <c r="Y9" s="19">
        <f>(O9/P9)*100</f>
        <v>0</v>
      </c>
      <c r="Z9" s="19">
        <f>E9/F9</f>
        <v>9.411660777385158</v>
      </c>
      <c r="AA9" s="18">
        <f>(SUM(E9,F9)/(L9+0.1))/100</f>
        <v>1178.6</v>
      </c>
      <c r="AB9" s="18">
        <f>(SUM(E9,F9)/(M9+0.1))/100</f>
        <v>1178.6</v>
      </c>
      <c r="AC9" s="18">
        <f>(SUM(E9,F9)/(N9+0.1))/100</f>
        <v>1178.6</v>
      </c>
      <c r="AD9" s="18">
        <f>(SUM(E9,F9)/(O9+0.1))/100</f>
        <v>1178.6</v>
      </c>
    </row>
    <row r="10" ht="30.75">
      <c r="A10" s="29">
        <f>A9+1</f>
        <v>9</v>
      </c>
      <c r="B10" s="24" t="s">
        <v>29</v>
      </c>
      <c r="C10" s="24" t="s">
        <v>39</v>
      </c>
      <c r="D10" s="24" t="s">
        <v>31</v>
      </c>
      <c r="E10" s="12">
        <v>16014</v>
      </c>
      <c r="F10" s="12">
        <v>2218</v>
      </c>
      <c r="G10" s="12">
        <v>4.7</v>
      </c>
      <c r="H10" s="12">
        <v>4.4</v>
      </c>
      <c r="I10" s="12">
        <f>((G10*E10)+(H10*F10))/SUM(E10,F10)</f>
        <v>4.663503729706012</v>
      </c>
      <c r="J10" s="12">
        <f>IF(K10&gt;0,1,0)</f>
        <v>1</v>
      </c>
      <c r="K10" s="12">
        <v>12</v>
      </c>
      <c r="L10" s="12">
        <v>0</v>
      </c>
      <c r="M10" s="12">
        <v>0</v>
      </c>
      <c r="N10" s="12">
        <v>0</v>
      </c>
      <c r="O10" s="12">
        <f>(L10*0.5)+(M10*0.4)+(N10*0.1)</f>
        <v>0</v>
      </c>
      <c r="P10" s="12">
        <v>962</v>
      </c>
      <c r="Q10" s="18">
        <f>ABS(G10-H10)</f>
        <v>0.2999999999999998</v>
      </c>
      <c r="R10" s="18">
        <f>ABS(G10-I10)</f>
        <v>0.03649627029398861</v>
      </c>
      <c r="S10" s="18">
        <f>ABS(H10-I10)</f>
        <v>0.2635037297060112</v>
      </c>
      <c r="T10" s="19">
        <f>SUM(E10,F10)/P10</f>
        <v>18.95218295218295</v>
      </c>
      <c r="U10" s="19">
        <f>LOG10(E10+F10)*I10</f>
        <v>19.87041670647496</v>
      </c>
      <c r="V10" s="19">
        <f>(L10/P10)*100</f>
        <v>0</v>
      </c>
      <c r="W10" s="19">
        <f>(M10/P10)*100</f>
        <v>0</v>
      </c>
      <c r="X10" s="19">
        <f>(N10/P10)*100</f>
        <v>0</v>
      </c>
      <c r="Y10" s="19">
        <f>(O10/P10)*100</f>
        <v>0</v>
      </c>
      <c r="Z10" s="19">
        <f>E10/F10</f>
        <v>7.220018034265104</v>
      </c>
      <c r="AA10" s="18">
        <f>(SUM(E10,F10)/(L10+0.1))/100</f>
        <v>1823.2</v>
      </c>
      <c r="AB10" s="18">
        <f>(SUM(E10,F10)/(M10+0.1))/100</f>
        <v>1823.2</v>
      </c>
      <c r="AC10" s="18">
        <f>(SUM(E10,F10)/(N10+0.1))/100</f>
        <v>1823.2</v>
      </c>
      <c r="AD10" s="18">
        <f>(SUM(E10,F10)/(O10+0.1))/100</f>
        <v>1823.2</v>
      </c>
    </row>
    <row r="11" ht="30.75">
      <c r="A11" s="29">
        <f>A10+1</f>
        <v>10</v>
      </c>
      <c r="B11" s="24" t="s">
        <v>29</v>
      </c>
      <c r="C11" s="24" t="s">
        <v>40</v>
      </c>
      <c r="D11" s="24" t="s">
        <v>31</v>
      </c>
      <c r="E11" s="12">
        <v>31701</v>
      </c>
      <c r="F11" s="12">
        <v>5718</v>
      </c>
      <c r="G11" s="12">
        <v>4.4</v>
      </c>
      <c r="H11" s="12">
        <v>4.1</v>
      </c>
      <c r="I11" s="12">
        <f>((G11*E11)+(H11*F11))/SUM(E11,F11)</f>
        <v>4.354156979074802</v>
      </c>
      <c r="J11" s="12">
        <f>IF(K11&gt;0,1,0)</f>
        <v>1</v>
      </c>
      <c r="K11" s="12">
        <v>13</v>
      </c>
      <c r="L11" s="12">
        <v>0</v>
      </c>
      <c r="M11" s="12">
        <v>0</v>
      </c>
      <c r="N11" s="12">
        <v>0</v>
      </c>
      <c r="O11" s="12">
        <f>(L11*0.5)+(M11*0.4)+(N11*0.1)</f>
        <v>0</v>
      </c>
      <c r="P11" s="12">
        <v>553</v>
      </c>
      <c r="Q11" s="18">
        <f>ABS(G11-H11)</f>
        <v>0.3000000000000007</v>
      </c>
      <c r="R11" s="18">
        <f>ABS(G11-I11)</f>
        <v>0.0458430209251981</v>
      </c>
      <c r="S11" s="18">
        <f>ABS(H11-I11)</f>
        <v>0.2541569790748026</v>
      </c>
      <c r="T11" s="19">
        <f>SUM(E11,F11)/P11</f>
        <v>67.66546112115732</v>
      </c>
      <c r="U11" s="19">
        <f>LOG10(E11+F11)*I11</f>
        <v>19.911961218712886</v>
      </c>
      <c r="V11" s="19">
        <f>(L11/P11)*100</f>
        <v>0</v>
      </c>
      <c r="W11" s="19">
        <f>(M11/P11)*100</f>
        <v>0</v>
      </c>
      <c r="X11" s="19">
        <f>(N11/P11)*100</f>
        <v>0</v>
      </c>
      <c r="Y11" s="19">
        <f>(O11/P11)*100</f>
        <v>0</v>
      </c>
      <c r="Z11" s="19">
        <f>E11/F11</f>
        <v>5.544071353620147</v>
      </c>
      <c r="AA11" s="18">
        <f>(SUM(E11,F11)/(L11+0.1))/100</f>
        <v>3741.9</v>
      </c>
      <c r="AB11" s="18">
        <f>(SUM(E11,F11)/(M11+0.1))/100</f>
        <v>3741.9</v>
      </c>
      <c r="AC11" s="18">
        <f>(SUM(E11,F11)/(N11+0.1))/100</f>
        <v>3741.9</v>
      </c>
      <c r="AD11" s="18">
        <f>(SUM(E11,F11)/(O11+0.1))/100</f>
        <v>3741.9</v>
      </c>
    </row>
    <row r="12" ht="30.75">
      <c r="A12" s="29">
        <f>A11+1</f>
        <v>11</v>
      </c>
      <c r="B12" s="24" t="s">
        <v>29</v>
      </c>
      <c r="C12" s="24" t="s">
        <v>41</v>
      </c>
      <c r="D12" s="24" t="s">
        <v>31</v>
      </c>
      <c r="E12" s="12">
        <v>3506</v>
      </c>
      <c r="F12" s="12">
        <v>2484</v>
      </c>
      <c r="G12" s="12">
        <v>4.8</v>
      </c>
      <c r="H12" s="12">
        <v>4.4</v>
      </c>
      <c r="I12" s="12">
        <f>((G12*E12)+(H12*F12))/SUM(E12,F12)</f>
        <v>4.6341235392320534</v>
      </c>
      <c r="J12" s="12">
        <f>IF(K12&gt;0,1,0)</f>
        <v>1</v>
      </c>
      <c r="K12" s="12">
        <v>14</v>
      </c>
      <c r="L12" s="12">
        <v>0</v>
      </c>
      <c r="M12" s="12">
        <v>0</v>
      </c>
      <c r="N12" s="12">
        <v>0</v>
      </c>
      <c r="O12" s="12">
        <f>(L12*0.5)+(M12*0.4)+(N12*0.1)</f>
        <v>0</v>
      </c>
      <c r="P12" s="12">
        <v>1850</v>
      </c>
      <c r="Q12" s="18">
        <f>ABS(G12-H12)</f>
        <v>0.39999999999999947</v>
      </c>
      <c r="R12" s="18">
        <f>ABS(G12-I12)</f>
        <v>0.16587646076794638</v>
      </c>
      <c r="S12" s="18">
        <f>ABS(H12-I12)</f>
        <v>0.2341235392320531</v>
      </c>
      <c r="T12" s="19">
        <f>SUM(E12,F12)/P12</f>
        <v>3.2378378378378376</v>
      </c>
      <c r="U12" s="19">
        <f>LOG10(E12+F12)*I12</f>
        <v>17.505062555360844</v>
      </c>
      <c r="V12" s="19">
        <f>(L12/P12)*100</f>
        <v>0</v>
      </c>
      <c r="W12" s="19">
        <f>(M12/P12)*100</f>
        <v>0</v>
      </c>
      <c r="X12" s="19">
        <f>(N12/P12)*100</f>
        <v>0</v>
      </c>
      <c r="Y12" s="19">
        <f>(O12/P12)*100</f>
        <v>0</v>
      </c>
      <c r="Z12" s="19">
        <f>E12/F12</f>
        <v>1.4114331723027376</v>
      </c>
      <c r="AA12" s="18">
        <f>(SUM(E12,F12)/(L12+0.1))/100</f>
        <v>599</v>
      </c>
      <c r="AB12" s="18">
        <f>(SUM(E12,F12)/(M12+0.1))/100</f>
        <v>599</v>
      </c>
      <c r="AC12" s="18">
        <f>(SUM(E12,F12)/(N12+0.1))/100</f>
        <v>599</v>
      </c>
      <c r="AD12" s="18">
        <f>(SUM(E12,F12)/(O12+0.1))/100</f>
        <v>599</v>
      </c>
    </row>
    <row r="13" ht="30.75">
      <c r="A13" s="29">
        <f>A12+1</f>
        <v>12</v>
      </c>
      <c r="B13" s="24" t="s">
        <v>29</v>
      </c>
      <c r="C13" s="24" t="s">
        <v>42</v>
      </c>
      <c r="D13" s="24" t="s">
        <v>31</v>
      </c>
      <c r="E13" s="12">
        <v>32790</v>
      </c>
      <c r="F13" s="12">
        <v>2730</v>
      </c>
      <c r="G13" s="12">
        <v>4.1</v>
      </c>
      <c r="H13" s="12">
        <v>3.6</v>
      </c>
      <c r="I13" s="12">
        <f>((G13*E13)+(H13*F13))/SUM(E13,F13)</f>
        <v>4.061570945945946</v>
      </c>
      <c r="J13" s="12">
        <f>IF(K13&gt;0,1,0)</f>
        <v>1</v>
      </c>
      <c r="K13" s="12">
        <v>15</v>
      </c>
      <c r="L13" s="12">
        <v>8</v>
      </c>
      <c r="M13" s="12">
        <v>0</v>
      </c>
      <c r="N13" s="12">
        <v>0</v>
      </c>
      <c r="O13" s="12">
        <f>(L13*0.5)+(M13*0.4)+(N13*0.1)</f>
        <v>4</v>
      </c>
      <c r="P13" s="12">
        <v>2260</v>
      </c>
      <c r="Q13" s="18">
        <f>ABS(G13-H13)</f>
        <v>0.49999999999999956</v>
      </c>
      <c r="R13" s="18">
        <f>ABS(G13-I13)</f>
        <v>0.0384290540540535</v>
      </c>
      <c r="S13" s="18">
        <f>ABS(H13-I13)</f>
        <v>0.46157094594594605</v>
      </c>
      <c r="T13" s="19">
        <f>SUM(E13,F13)/P13</f>
        <v>15.716814159292035</v>
      </c>
      <c r="U13" s="19">
        <f>LOG10(E13+F13)*I13</f>
        <v>18.482068752896755</v>
      </c>
      <c r="V13" s="19">
        <f>(L13/P13)*100</f>
        <v>0.35398230088495575</v>
      </c>
      <c r="W13" s="19">
        <f>(M13/P13)*100</f>
        <v>0</v>
      </c>
      <c r="X13" s="19">
        <f>(N13/P13)*100</f>
        <v>0</v>
      </c>
      <c r="Y13" s="19">
        <f>(O13/P13)*100</f>
        <v>0.17699115044247787</v>
      </c>
      <c r="Z13" s="19">
        <f>E13/F13</f>
        <v>12.010989010989011</v>
      </c>
      <c r="AA13" s="18">
        <f>(SUM(E13,F13)/(L13+0.1))/100</f>
        <v>43.851851851851855</v>
      </c>
      <c r="AB13" s="18">
        <f>(SUM(E13,F13)/(M13+0.1))/100</f>
        <v>3552</v>
      </c>
      <c r="AC13" s="18">
        <f>(SUM(E13,F13)/(N13+0.1))/100</f>
        <v>3552</v>
      </c>
      <c r="AD13" s="18">
        <f>(SUM(E13,F13)/(O13+0.1))/100</f>
        <v>86.63414634146342</v>
      </c>
    </row>
    <row r="14" ht="30.75">
      <c r="A14" s="29">
        <f>A13+1</f>
        <v>13</v>
      </c>
      <c r="B14" s="24" t="s">
        <v>29</v>
      </c>
      <c r="C14" s="24" t="s">
        <v>43</v>
      </c>
      <c r="D14" s="24" t="s">
        <v>31</v>
      </c>
      <c r="E14" s="12">
        <v>4771</v>
      </c>
      <c r="F14" s="12">
        <v>527</v>
      </c>
      <c r="G14" s="12">
        <v>4.5</v>
      </c>
      <c r="H14" s="12">
        <v>4.7</v>
      </c>
      <c r="I14" s="12">
        <f>((G14*E14)+(H14*F14))/SUM(E14,F14)</f>
        <v>4.51989429973575</v>
      </c>
      <c r="J14" s="12">
        <f>IF(K14&gt;0,1,0)</f>
        <v>1</v>
      </c>
      <c r="K14" s="12">
        <v>16</v>
      </c>
      <c r="L14" s="12">
        <v>0</v>
      </c>
      <c r="M14" s="12">
        <v>0</v>
      </c>
      <c r="N14" s="12">
        <v>0</v>
      </c>
      <c r="O14" s="12">
        <f>(L14*0.5)+(M14*0.4)+(N14*0.1)</f>
        <v>0</v>
      </c>
      <c r="P14" s="12">
        <v>743</v>
      </c>
      <c r="Q14" s="18">
        <f>ABS(G14-H14)</f>
        <v>0.20000000000000018</v>
      </c>
      <c r="R14" s="18">
        <f>ABS(G14-I14)</f>
        <v>0.019894299735749854</v>
      </c>
      <c r="S14" s="18">
        <f>ABS(H14-I14)</f>
        <v>0.18010570026425032</v>
      </c>
      <c r="T14" s="19">
        <f>SUM(E14,F14)/P14</f>
        <v>7.1305518169582776</v>
      </c>
      <c r="U14" s="19">
        <f>LOG10(E14+F14)*I14</f>
        <v>16.83259239228705</v>
      </c>
      <c r="V14" s="19">
        <f>(L14/P14)*100</f>
        <v>0</v>
      </c>
      <c r="W14" s="19">
        <f>(M14/P14)*100</f>
        <v>0</v>
      </c>
      <c r="X14" s="19">
        <f>(N14/P14)*100</f>
        <v>0</v>
      </c>
      <c r="Y14" s="19">
        <f>(O14/P14)*100</f>
        <v>0</v>
      </c>
      <c r="Z14" s="19">
        <f>E14/F14</f>
        <v>9.053130929791271</v>
      </c>
      <c r="AA14" s="18">
        <f>(SUM(E14,F14)/(L14+0.1))/100</f>
        <v>529.8</v>
      </c>
      <c r="AB14" s="18">
        <f>(SUM(E14,F14)/(M14+0.1))/100</f>
        <v>529.8</v>
      </c>
      <c r="AC14" s="18">
        <f>(SUM(E14,F14)/(N14+0.1))/100</f>
        <v>529.8</v>
      </c>
      <c r="AD14" s="18">
        <f>(SUM(E14,F14)/(O14+0.1))/100</f>
        <v>529.8</v>
      </c>
    </row>
    <row r="15" ht="30.75">
      <c r="A15" s="29">
        <f>A14+1</f>
        <v>14</v>
      </c>
      <c r="B15" s="24" t="s">
        <v>29</v>
      </c>
      <c r="C15" s="24" t="s">
        <v>44</v>
      </c>
      <c r="D15" s="24" t="s">
        <v>31</v>
      </c>
      <c r="E15" s="12">
        <v>14803</v>
      </c>
      <c r="F15" s="12">
        <v>473</v>
      </c>
      <c r="G15" s="12">
        <v>4.3</v>
      </c>
      <c r="H15" s="12">
        <v>4.5</v>
      </c>
      <c r="I15" s="12">
        <f>((G15*E15)+(H15*F15))/SUM(E15,F15)</f>
        <v>4.306192720607489</v>
      </c>
      <c r="J15" s="12">
        <f>IF(K15&gt;0,1,0)</f>
        <v>1</v>
      </c>
      <c r="K15" s="12">
        <v>17</v>
      </c>
      <c r="L15" s="12">
        <v>0</v>
      </c>
      <c r="M15" s="12">
        <v>0</v>
      </c>
      <c r="N15" s="12">
        <v>0</v>
      </c>
      <c r="O15" s="12">
        <f>(L15*0.5)+(M15*0.4)+(N15*0.1)</f>
        <v>0</v>
      </c>
      <c r="P15" s="12">
        <v>1660</v>
      </c>
      <c r="Q15" s="18">
        <f>ABS(G15-H15)</f>
        <v>0.20000000000000018</v>
      </c>
      <c r="R15" s="18">
        <f>ABS(G15-I15)</f>
        <v>0.006192720607488766</v>
      </c>
      <c r="S15" s="18">
        <f>ABS(H15-I15)</f>
        <v>0.1938072793925114</v>
      </c>
      <c r="T15" s="19">
        <f>SUM(E15,F15)/P15</f>
        <v>9.202409638554217</v>
      </c>
      <c r="U15" s="19">
        <f>LOG10(E15+F15)*I15</f>
        <v>18.01715189649514</v>
      </c>
      <c r="V15" s="19">
        <f>(L15/P15)*100</f>
        <v>0</v>
      </c>
      <c r="W15" s="19">
        <f>(M15/P15)*100</f>
        <v>0</v>
      </c>
      <c r="X15" s="19">
        <f>(N15/P15)*100</f>
        <v>0</v>
      </c>
      <c r="Y15" s="19">
        <f>(O15/P15)*100</f>
        <v>0</v>
      </c>
      <c r="Z15" s="19">
        <f>E15/F15</f>
        <v>31.29598308668076</v>
      </c>
      <c r="AA15" s="18">
        <f>(SUM(E15,F15)/(L15+0.1))/100</f>
        <v>1527.6</v>
      </c>
      <c r="AB15" s="18">
        <f>(SUM(E15,F15)/(M15+0.1))/100</f>
        <v>1527.6</v>
      </c>
      <c r="AC15" s="18">
        <f>(SUM(E15,F15)/(N15+0.1))/100</f>
        <v>1527.6</v>
      </c>
      <c r="AD15" s="18">
        <f>(SUM(E15,F15)/(O15+0.1))/100</f>
        <v>1527.6</v>
      </c>
    </row>
    <row r="16" ht="30.75">
      <c r="A16" s="29">
        <f>A15+1</f>
        <v>15</v>
      </c>
      <c r="B16" s="24" t="s">
        <v>29</v>
      </c>
      <c r="C16" s="24" t="s">
        <v>45</v>
      </c>
      <c r="D16" s="24" t="s">
        <v>31</v>
      </c>
      <c r="E16" s="12">
        <v>10723</v>
      </c>
      <c r="F16" s="12">
        <v>1689</v>
      </c>
      <c r="G16" s="12">
        <v>4.4</v>
      </c>
      <c r="H16" s="12">
        <v>4.4</v>
      </c>
      <c r="I16" s="12">
        <f>((G16*E16)+(H16*F16))/SUM(E16,F16)</f>
        <v>4.4</v>
      </c>
      <c r="J16" s="12">
        <f>IF(K16&gt;0,1,0)</f>
        <v>1</v>
      </c>
      <c r="K16" s="12">
        <v>18</v>
      </c>
      <c r="L16" s="12">
        <v>0</v>
      </c>
      <c r="M16" s="12">
        <v>0</v>
      </c>
      <c r="N16" s="12">
        <v>0</v>
      </c>
      <c r="O16" s="12">
        <f>(L16*0.5)+(M16*0.4)+(N16*0.1)</f>
        <v>0</v>
      </c>
      <c r="P16" s="12">
        <v>1000</v>
      </c>
      <c r="Q16" s="18">
        <f>ABS(G16-H16)</f>
        <v>0</v>
      </c>
      <c r="R16" s="18">
        <f>ABS(G16-I16)</f>
        <v>0</v>
      </c>
      <c r="S16" s="18">
        <f>ABS(H16-I16)</f>
        <v>0</v>
      </c>
      <c r="T16" s="19">
        <f>SUM(E16,F16)/P16</f>
        <v>12.412</v>
      </c>
      <c r="U16" s="19">
        <f>LOG10(E16+F16)*I16</f>
        <v>18.012903774413363</v>
      </c>
      <c r="V16" s="19">
        <f>(L16/P16)*100</f>
        <v>0</v>
      </c>
      <c r="W16" s="19">
        <f>(M16/P16)*100</f>
        <v>0</v>
      </c>
      <c r="X16" s="19">
        <f>(N16/P16)*100</f>
        <v>0</v>
      </c>
      <c r="Y16" s="19">
        <f>(O16/P16)*100</f>
        <v>0</v>
      </c>
      <c r="Z16" s="19">
        <f>E16/F16</f>
        <v>6.348727057430432</v>
      </c>
      <c r="AA16" s="18">
        <f>(SUM(E16,F16)/(L16+0.1))/100</f>
        <v>1241.2</v>
      </c>
      <c r="AB16" s="18">
        <f>(SUM(E16,F16)/(M16+0.1))/100</f>
        <v>1241.2</v>
      </c>
      <c r="AC16" s="18">
        <f>(SUM(E16,F16)/(N16+0.1))/100</f>
        <v>1241.2</v>
      </c>
      <c r="AD16" s="18">
        <f>(SUM(E16,F16)/(O16+0.1))/100</f>
        <v>1241.2</v>
      </c>
    </row>
    <row r="17" ht="30.75">
      <c r="A17" s="29">
        <f>A16+1</f>
        <v>16</v>
      </c>
      <c r="B17" s="24" t="s">
        <v>29</v>
      </c>
      <c r="C17" s="24" t="s">
        <v>46</v>
      </c>
      <c r="D17" s="24" t="s">
        <v>31</v>
      </c>
      <c r="E17" s="12">
        <v>12143</v>
      </c>
      <c r="F17" s="12">
        <v>2186</v>
      </c>
      <c r="G17" s="12">
        <v>4.6</v>
      </c>
      <c r="H17" s="12">
        <v>4.5</v>
      </c>
      <c r="I17" s="12">
        <f>((G17*E17)+(H17*F17))/SUM(E17,F17)</f>
        <v>4.584744224998254</v>
      </c>
      <c r="J17" s="12">
        <f>IF(K17&gt;0,1,0)</f>
        <v>1</v>
      </c>
      <c r="K17" s="12">
        <v>19</v>
      </c>
      <c r="L17" s="12">
        <v>0</v>
      </c>
      <c r="M17" s="12">
        <v>16</v>
      </c>
      <c r="N17" s="12">
        <v>0</v>
      </c>
      <c r="O17" s="12">
        <f>(L17*0.5)+(M17*0.4)+(N17*0.1)</f>
        <v>6.4</v>
      </c>
      <c r="P17" s="12">
        <v>424</v>
      </c>
      <c r="Q17" s="18">
        <f>ABS(G17-H17)</f>
        <v>0.09999999999999964</v>
      </c>
      <c r="R17" s="18">
        <f>ABS(G17-I17)</f>
        <v>0.015255775001745242</v>
      </c>
      <c r="S17" s="18">
        <f>ABS(H17-I17)</f>
        <v>0.0847442249982544</v>
      </c>
      <c r="T17" s="19">
        <f>SUM(E17,F17)/P17</f>
        <v>33.79481132075472</v>
      </c>
      <c r="U17" s="19">
        <f>LOG10(E17+F17)*I17</f>
        <v>19.05518676594831</v>
      </c>
      <c r="V17" s="19">
        <f>(L17/P17)*100</f>
        <v>0</v>
      </c>
      <c r="W17" s="19">
        <f>(M17/P17)*100</f>
        <v>3.7735849056603774</v>
      </c>
      <c r="X17" s="19">
        <f>(N17/P17)*100</f>
        <v>0</v>
      </c>
      <c r="Y17" s="19">
        <f>(O17/P17)*100</f>
        <v>1.509433962264151</v>
      </c>
      <c r="Z17" s="19">
        <f>E17/F17</f>
        <v>5.554894784995425</v>
      </c>
      <c r="AA17" s="18">
        <f>(SUM(E17,F17)/(L17+0.1))/100</f>
        <v>1432.9</v>
      </c>
      <c r="AB17" s="18">
        <f>(SUM(E17,F17)/(M17+0.1))/100</f>
        <v>8.899999999999999</v>
      </c>
      <c r="AC17" s="18">
        <f>(SUM(E17,F17)/(N17+0.1))/100</f>
        <v>1432.9</v>
      </c>
      <c r="AD17" s="18">
        <f>(SUM(E17,F17)/(O17+0.1))/100</f>
        <v>22.044615384615387</v>
      </c>
    </row>
    <row r="18" ht="30.75">
      <c r="A18" s="29">
        <f>A17+1</f>
        <v>17</v>
      </c>
      <c r="B18" s="24" t="s">
        <v>29</v>
      </c>
      <c r="C18" s="24" t="s">
        <v>47</v>
      </c>
      <c r="D18" s="24" t="s">
        <v>31</v>
      </c>
      <c r="E18" s="12">
        <v>2710</v>
      </c>
      <c r="F18" s="12">
        <v>857</v>
      </c>
      <c r="G18" s="12">
        <v>4.5</v>
      </c>
      <c r="H18" s="12">
        <v>4.3</v>
      </c>
      <c r="I18" s="12">
        <f>((G18*E18)+(H18*F18))/SUM(E18,F18)</f>
        <v>4.451948416035885</v>
      </c>
      <c r="J18" s="12">
        <f>IF(K18&gt;0,1,0)</f>
        <v>1</v>
      </c>
      <c r="K18" s="12">
        <v>20</v>
      </c>
      <c r="L18" s="12">
        <v>0</v>
      </c>
      <c r="M18" s="12">
        <v>0</v>
      </c>
      <c r="N18" s="12">
        <v>0</v>
      </c>
      <c r="O18" s="12">
        <f>(L18*0.5)+(M18*0.4)+(N18*0.1)</f>
        <v>0</v>
      </c>
      <c r="P18" s="12">
        <v>676</v>
      </c>
      <c r="Q18" s="18">
        <f>ABS(G18-H18)</f>
        <v>0.20000000000000018</v>
      </c>
      <c r="R18" s="18">
        <f>ABS(G18-I18)</f>
        <v>0.04805158396411535</v>
      </c>
      <c r="S18" s="18">
        <f>ABS(H18-I18)</f>
        <v>0.15194841603588483</v>
      </c>
      <c r="T18" s="19">
        <f>SUM(E18,F18)/P18</f>
        <v>5.2766272189349115</v>
      </c>
      <c r="U18" s="19">
        <f>LOG10(E18+F18)*I18</f>
        <v>15.814670200898234</v>
      </c>
      <c r="V18" s="19">
        <f>(L18/P18)*100</f>
        <v>0</v>
      </c>
      <c r="W18" s="19">
        <f>(M18/P18)*100</f>
        <v>0</v>
      </c>
      <c r="X18" s="19">
        <f>(N18/P18)*100</f>
        <v>0</v>
      </c>
      <c r="Y18" s="19">
        <f>(O18/P18)*100</f>
        <v>0</v>
      </c>
      <c r="Z18" s="19">
        <f>E18/F18</f>
        <v>3.162193698949825</v>
      </c>
      <c r="AA18" s="18">
        <f>(SUM(E18,F18)/(L18+0.1))/100</f>
        <v>356.7</v>
      </c>
      <c r="AB18" s="18">
        <f>(SUM(E18,F18)/(M18+0.1))/100</f>
        <v>356.7</v>
      </c>
      <c r="AC18" s="18">
        <f>(SUM(E18,F18)/(N18+0.1))/100</f>
        <v>356.7</v>
      </c>
      <c r="AD18" s="18">
        <f>(SUM(E18,F18)/(O18+0.1))/100</f>
        <v>356.7</v>
      </c>
    </row>
    <row r="19" ht="30.75">
      <c r="A19" s="29">
        <f>A18+1</f>
        <v>18</v>
      </c>
      <c r="B19" s="24" t="s">
        <v>29</v>
      </c>
      <c r="C19" s="24" t="s">
        <v>48</v>
      </c>
      <c r="D19" s="24" t="s">
        <v>31</v>
      </c>
      <c r="E19" s="12">
        <v>6037</v>
      </c>
      <c r="F19" s="12">
        <v>393</v>
      </c>
      <c r="G19" s="12">
        <v>4.5</v>
      </c>
      <c r="H19" s="12">
        <v>4.4</v>
      </c>
      <c r="I19" s="12">
        <f>((G19*E19)+(H19*F19))/SUM(E19,F19)</f>
        <v>4.4938880248833595</v>
      </c>
      <c r="J19" s="12">
        <f>IF(K19&gt;0,1,0)</f>
        <v>1</v>
      </c>
      <c r="K19" s="12">
        <v>22</v>
      </c>
      <c r="L19" s="12">
        <v>0</v>
      </c>
      <c r="M19" s="12">
        <v>0</v>
      </c>
      <c r="N19" s="12">
        <v>0</v>
      </c>
      <c r="O19" s="12">
        <f>(L19*0.5)+(M19*0.4)+(N19*0.1)</f>
        <v>0</v>
      </c>
      <c r="P19" s="12">
        <v>1680</v>
      </c>
      <c r="Q19" s="18">
        <f>ABS(G19-H19)</f>
        <v>0.09999999999999964</v>
      </c>
      <c r="R19" s="18">
        <f>ABS(G19-I19)</f>
        <v>0.006111975116640522</v>
      </c>
      <c r="S19" s="18">
        <f>ABS(H19-I19)</f>
        <v>0.09388802488335912</v>
      </c>
      <c r="T19" s="19">
        <f>SUM(E19,F19)/P19</f>
        <v>3.8273809523809526</v>
      </c>
      <c r="U19" s="19">
        <f>LOG10(E19+F19)*I19</f>
        <v>17.11367368745357</v>
      </c>
      <c r="V19" s="19">
        <f>(L19/P19)*100</f>
        <v>0</v>
      </c>
      <c r="W19" s="19">
        <f>(M19/P19)*100</f>
        <v>0</v>
      </c>
      <c r="X19" s="19">
        <f>(N19/P19)*100</f>
        <v>0</v>
      </c>
      <c r="Y19" s="19">
        <f>(O19/P19)*100</f>
        <v>0</v>
      </c>
      <c r="Z19" s="19">
        <f>E19/F19</f>
        <v>15.361323155216285</v>
      </c>
      <c r="AA19" s="18">
        <f>(SUM(E19,F19)/(L19+0.1))/100</f>
        <v>643</v>
      </c>
      <c r="AB19" s="18">
        <f>(SUM(E19,F19)/(M19+0.1))/100</f>
        <v>643</v>
      </c>
      <c r="AC19" s="18">
        <f>(SUM(E19,F19)/(N19+0.1))/100</f>
        <v>643</v>
      </c>
      <c r="AD19" s="18">
        <f>(SUM(E19,F19)/(O19+0.1))/100</f>
        <v>643</v>
      </c>
    </row>
    <row r="20" ht="30.75">
      <c r="A20" s="29">
        <f>A19+1</f>
        <v>19</v>
      </c>
      <c r="B20" s="24" t="s">
        <v>29</v>
      </c>
      <c r="C20" s="24" t="s">
        <v>49</v>
      </c>
      <c r="D20" s="24" t="s">
        <v>31</v>
      </c>
      <c r="E20" s="12">
        <v>2188</v>
      </c>
      <c r="F20" s="12">
        <v>919</v>
      </c>
      <c r="G20" s="12">
        <v>4.4</v>
      </c>
      <c r="H20" s="12">
        <v>4.3</v>
      </c>
      <c r="I20" s="12">
        <f>((G20*E20)+(H20*F20))/SUM(E20,F20)</f>
        <v>4.370421628580625</v>
      </c>
      <c r="J20" s="12">
        <f>IF(K20&gt;0,1,0)</f>
        <v>1</v>
      </c>
      <c r="K20" s="12">
        <v>23</v>
      </c>
      <c r="L20" s="12">
        <v>0</v>
      </c>
      <c r="M20" s="12">
        <v>0</v>
      </c>
      <c r="N20" s="12">
        <v>0</v>
      </c>
      <c r="O20" s="12">
        <f>(L20*0.5)+(M20*0.4)+(N20*0.1)</f>
        <v>0</v>
      </c>
      <c r="P20" s="12">
        <v>264</v>
      </c>
      <c r="Q20" s="18">
        <f>ABS(G20-H20)</f>
        <v>0.10000000000000053</v>
      </c>
      <c r="R20" s="18">
        <f>ABS(G20-I20)</f>
        <v>0.029578371419375138</v>
      </c>
      <c r="S20" s="18">
        <f>ABS(H20-I20)</f>
        <v>0.0704216285806254</v>
      </c>
      <c r="T20" s="19">
        <f>SUM(E20,F20)/P20</f>
        <v>11.768939393939394</v>
      </c>
      <c r="U20" s="19">
        <f>LOG10(E20+F20)*I20</f>
        <v>15.263003747609908</v>
      </c>
      <c r="V20" s="19">
        <f>(L20/P20)*100</f>
        <v>0</v>
      </c>
      <c r="W20" s="19">
        <f>(M20/P20)*100</f>
        <v>0</v>
      </c>
      <c r="X20" s="19">
        <f>(N20/P20)*100</f>
        <v>0</v>
      </c>
      <c r="Y20" s="19">
        <f>(O20/P20)*100</f>
        <v>0</v>
      </c>
      <c r="Z20" s="19">
        <f>E20/F20</f>
        <v>2.380848748639826</v>
      </c>
      <c r="AA20" s="18">
        <f>(SUM(E20,F20)/(L20+0.1))/100</f>
        <v>310.7</v>
      </c>
      <c r="AB20" s="18">
        <f>(SUM(E20,F20)/(M20+0.1))/100</f>
        <v>310.7</v>
      </c>
      <c r="AC20" s="18">
        <f>(SUM(E20,F20)/(N20+0.1))/100</f>
        <v>310.7</v>
      </c>
      <c r="AD20" s="18">
        <f>(SUM(E20,F20)/(O20+0.1))/100</f>
        <v>310.7</v>
      </c>
    </row>
    <row r="21" ht="30.75">
      <c r="A21" s="29">
        <f>A20+1</f>
        <v>20</v>
      </c>
      <c r="B21" s="24" t="s">
        <v>29</v>
      </c>
      <c r="C21" s="24" t="s">
        <v>50</v>
      </c>
      <c r="D21" s="24" t="s">
        <v>31</v>
      </c>
      <c r="E21" s="12">
        <v>14846</v>
      </c>
      <c r="F21" s="12">
        <v>702</v>
      </c>
      <c r="G21" s="12">
        <v>4.5</v>
      </c>
      <c r="H21" s="12">
        <v>3.9</v>
      </c>
      <c r="I21" s="12">
        <f>((G21*E21)+(H21*F21))/SUM(E21,F21)</f>
        <v>4.472909698996656</v>
      </c>
      <c r="J21" s="12">
        <f>IF(K21&gt;0,1,0)</f>
        <v>1</v>
      </c>
      <c r="K21" s="12">
        <v>24</v>
      </c>
      <c r="L21" s="12">
        <v>0</v>
      </c>
      <c r="M21" s="12">
        <v>0</v>
      </c>
      <c r="N21" s="12">
        <v>0</v>
      </c>
      <c r="O21" s="12">
        <f>(L21*0.5)+(M21*0.4)+(N21*0.1)</f>
        <v>0</v>
      </c>
      <c r="P21" s="12">
        <v>1730</v>
      </c>
      <c r="Q21" s="18">
        <f>ABS(G21-H21)</f>
        <v>0.6000000000000001</v>
      </c>
      <c r="R21" s="18">
        <f>ABS(G21-I21)</f>
        <v>0.027090301003344308</v>
      </c>
      <c r="S21" s="18">
        <f>ABS(H21-I21)</f>
        <v>0.5729096989966558</v>
      </c>
      <c r="T21" s="19">
        <f>SUM(E21,F21)/P21</f>
        <v>8.98728323699422</v>
      </c>
      <c r="U21" s="19">
        <f>LOG10(E21+F21)*I21</f>
        <v>18.7489816690377</v>
      </c>
      <c r="V21" s="19">
        <f>(L21/P21)*100</f>
        <v>0</v>
      </c>
      <c r="W21" s="19">
        <f>(M21/P21)*100</f>
        <v>0</v>
      </c>
      <c r="X21" s="19">
        <f>(N21/P21)*100</f>
        <v>0</v>
      </c>
      <c r="Y21" s="19">
        <f>(O21/P21)*100</f>
        <v>0</v>
      </c>
      <c r="Z21" s="19">
        <f>E21/F21</f>
        <v>21.14814814814815</v>
      </c>
      <c r="AA21" s="18">
        <f>(SUM(E21,F21)/(L21+0.1))/100</f>
        <v>1554.8</v>
      </c>
      <c r="AB21" s="18">
        <f>(SUM(E21,F21)/(M21+0.1))/100</f>
        <v>1554.8</v>
      </c>
      <c r="AC21" s="18">
        <f>(SUM(E21,F21)/(N21+0.1))/100</f>
        <v>1554.8</v>
      </c>
      <c r="AD21" s="18">
        <f>(SUM(E21,F21)/(O21+0.1))/100</f>
        <v>1554.8</v>
      </c>
    </row>
    <row r="22" ht="30.75">
      <c r="A22" s="29">
        <f>A21+1</f>
        <v>21</v>
      </c>
      <c r="B22" s="24" t="s">
        <v>29</v>
      </c>
      <c r="C22" s="24" t="s">
        <v>51</v>
      </c>
      <c r="D22" s="24" t="s">
        <v>31</v>
      </c>
      <c r="E22" s="12">
        <v>297</v>
      </c>
      <c r="F22" s="12">
        <v>1851</v>
      </c>
      <c r="G22" s="12">
        <v>4.8</v>
      </c>
      <c r="H22" s="12">
        <v>4.7</v>
      </c>
      <c r="I22" s="12">
        <f>((G22*E22)+(H22*F22))/SUM(E22,F22)</f>
        <v>4.7138268156424585</v>
      </c>
      <c r="J22" s="12">
        <f>IF(K22&gt;0,1,0)</f>
        <v>1</v>
      </c>
      <c r="K22" s="12">
        <v>25</v>
      </c>
      <c r="L22" s="12">
        <v>0</v>
      </c>
      <c r="M22" s="12">
        <v>0</v>
      </c>
      <c r="N22" s="12">
        <v>0</v>
      </c>
      <c r="O22" s="12">
        <f>(L22*0.5)+(M22*0.4)+(N22*0.1)</f>
        <v>0</v>
      </c>
      <c r="P22" s="12">
        <v>396</v>
      </c>
      <c r="Q22" s="18">
        <f>ABS(G22-H22)</f>
        <v>0.09999999999999964</v>
      </c>
      <c r="R22" s="18">
        <f>ABS(G22-I22)</f>
        <v>0.08617318435754129</v>
      </c>
      <c r="S22" s="18">
        <f>ABS(H22-I22)</f>
        <v>0.013826815642458357</v>
      </c>
      <c r="T22" s="19">
        <f>SUM(E22,F22)/P22</f>
        <v>5.424242424242424</v>
      </c>
      <c r="U22" s="19">
        <f>LOG10(E22+F22)*I22</f>
        <v>15.706632525692147</v>
      </c>
      <c r="V22" s="19">
        <f>(L22/P22)*100</f>
        <v>0</v>
      </c>
      <c r="W22" s="19">
        <f>(M22/P22)*100</f>
        <v>0</v>
      </c>
      <c r="X22" s="19">
        <f>(N22/P22)*100</f>
        <v>0</v>
      </c>
      <c r="Y22" s="19">
        <f>(O22/P22)*100</f>
        <v>0</v>
      </c>
      <c r="Z22" s="19">
        <f>E22/F22</f>
        <v>0.16045380875202594</v>
      </c>
      <c r="AA22" s="18">
        <f>(SUM(E22,F22)/(L22+0.1))/100</f>
        <v>214.8</v>
      </c>
      <c r="AB22" s="18">
        <f>(SUM(E22,F22)/(M22+0.1))/100</f>
        <v>214.8</v>
      </c>
      <c r="AC22" s="18">
        <f>(SUM(E22,F22)/(N22+0.1))/100</f>
        <v>214.8</v>
      </c>
      <c r="AD22" s="18">
        <f>(SUM(E22,F22)/(O22+0.1))/100</f>
        <v>214.8</v>
      </c>
    </row>
    <row r="23" ht="30.75">
      <c r="A23" s="29">
        <f>A22+1</f>
        <v>22</v>
      </c>
      <c r="B23" s="24" t="s">
        <v>29</v>
      </c>
      <c r="C23" s="24" t="s">
        <v>52</v>
      </c>
      <c r="D23" s="24" t="s">
        <v>31</v>
      </c>
      <c r="E23" s="12">
        <v>7415</v>
      </c>
      <c r="F23" s="12">
        <v>1258</v>
      </c>
      <c r="G23" s="12">
        <v>4.4</v>
      </c>
      <c r="H23" s="12">
        <v>4</v>
      </c>
      <c r="I23" s="12">
        <f>((G23*E23)+(H23*F23))/SUM(E23,F23)</f>
        <v>4.341980860140667</v>
      </c>
      <c r="J23" s="12">
        <f>IF(K23&gt;0,1,0)</f>
        <v>1</v>
      </c>
      <c r="K23" s="12">
        <v>26</v>
      </c>
      <c r="L23" s="12">
        <v>0</v>
      </c>
      <c r="M23" s="12">
        <v>0</v>
      </c>
      <c r="N23" s="12">
        <v>0</v>
      </c>
      <c r="O23" s="12">
        <f>(L23*0.5)+(M23*0.4)+(N23*0.1)</f>
        <v>0</v>
      </c>
      <c r="P23" s="12">
        <v>182</v>
      </c>
      <c r="Q23" s="18">
        <f>ABS(G23-H23)</f>
        <v>0.40000000000000036</v>
      </c>
      <c r="R23" s="18">
        <f>ABS(G23-I23)</f>
        <v>0.05801913985933371</v>
      </c>
      <c r="S23" s="18">
        <f>ABS(H23-I23)</f>
        <v>0.34198086014066664</v>
      </c>
      <c r="T23" s="19">
        <f>SUM(E23,F23)/P23</f>
        <v>47.65384615384615</v>
      </c>
      <c r="U23" s="19">
        <f>LOG10(E23+F23)*I23</f>
        <v>17.09945592601945</v>
      </c>
      <c r="V23" s="19">
        <f>(L23/P23)*100</f>
        <v>0</v>
      </c>
      <c r="W23" s="19">
        <f>(M23/P23)*100</f>
        <v>0</v>
      </c>
      <c r="X23" s="19">
        <f>(N23/P23)*100</f>
        <v>0</v>
      </c>
      <c r="Y23" s="19">
        <f>(O23/P23)*100</f>
        <v>0</v>
      </c>
      <c r="Z23" s="19">
        <f>E23/F23</f>
        <v>5.894276629570747</v>
      </c>
      <c r="AA23" s="18">
        <f>(SUM(E23,F23)/(L23+0.1))/100</f>
        <v>867.3</v>
      </c>
      <c r="AB23" s="18">
        <f>(SUM(E23,F23)/(M23+0.1))/100</f>
        <v>867.3</v>
      </c>
      <c r="AC23" s="18">
        <f>(SUM(E23,F23)/(N23+0.1))/100</f>
        <v>867.3</v>
      </c>
      <c r="AD23" s="18">
        <f>(SUM(E23,F23)/(O23+0.1))/100</f>
        <v>867.3</v>
      </c>
    </row>
    <row r="24" ht="30.75">
      <c r="A24" s="29">
        <f>A23+1</f>
        <v>23</v>
      </c>
      <c r="B24" s="24" t="s">
        <v>29</v>
      </c>
      <c r="C24" s="24" t="s">
        <v>53</v>
      </c>
      <c r="D24" s="24" t="s">
        <v>31</v>
      </c>
      <c r="E24" s="12">
        <v>6837</v>
      </c>
      <c r="F24" s="12">
        <v>1931</v>
      </c>
      <c r="G24" s="12">
        <v>4.5</v>
      </c>
      <c r="H24" s="12">
        <v>4.2</v>
      </c>
      <c r="I24" s="12">
        <f>((G24*E24)+(H24*F24))/SUM(E24,F24)</f>
        <v>4.433930200729927</v>
      </c>
      <c r="J24" s="12">
        <f>IF(K24&gt;0,1,0)</f>
        <v>1</v>
      </c>
      <c r="K24" s="12">
        <v>27</v>
      </c>
      <c r="L24" s="12">
        <v>0</v>
      </c>
      <c r="M24" s="12">
        <v>0</v>
      </c>
      <c r="N24" s="12">
        <v>50</v>
      </c>
      <c r="O24" s="12">
        <f>(L24*0.5)+(M24*0.4)+(N24*0.1)</f>
        <v>5</v>
      </c>
      <c r="P24" s="12">
        <v>289</v>
      </c>
      <c r="Q24" s="18">
        <f>ABS(G24-H24)</f>
        <v>0.2999999999999998</v>
      </c>
      <c r="R24" s="18">
        <f>ABS(G24-I24)</f>
        <v>0.06606979927007295</v>
      </c>
      <c r="S24" s="18">
        <f>ABS(H24-I24)</f>
        <v>0.23393020072992687</v>
      </c>
      <c r="T24" s="19">
        <f>SUM(E24,F24)/P24</f>
        <v>30.33910034602076</v>
      </c>
      <c r="U24" s="19">
        <f>LOG10(E24+F24)*I24</f>
        <v>17.482545787836322</v>
      </c>
      <c r="V24" s="19">
        <f>(L24/P24)*100</f>
        <v>0</v>
      </c>
      <c r="W24" s="19">
        <f>(M24/P24)*100</f>
        <v>0</v>
      </c>
      <c r="X24" s="19">
        <f>(N24/P24)*100</f>
        <v>17.301038062283737</v>
      </c>
      <c r="Y24" s="19">
        <f>(O24/P24)*100</f>
        <v>1.7301038062283738</v>
      </c>
      <c r="Z24" s="19">
        <f>E24/F24</f>
        <v>3.540652511651994</v>
      </c>
      <c r="AA24" s="18">
        <f>(SUM(E24,F24)/(L24+0.1))/100</f>
        <v>876.8</v>
      </c>
      <c r="AB24" s="18">
        <f>(SUM(E24,F24)/(M24+0.1))/100</f>
        <v>876.8</v>
      </c>
      <c r="AC24" s="18">
        <f>(SUM(E24,F24)/(N24+0.1))/100</f>
        <v>1.7500998003992014</v>
      </c>
      <c r="AD24" s="18">
        <f>(SUM(E24,F24)/(O24+0.1))/100</f>
        <v>17.192156862745097</v>
      </c>
    </row>
    <row r="25" ht="30.75">
      <c r="A25" s="29">
        <f>A24+1</f>
        <v>24</v>
      </c>
      <c r="B25" s="24" t="s">
        <v>29</v>
      </c>
      <c r="C25" s="24" t="s">
        <v>54</v>
      </c>
      <c r="D25" s="24" t="s">
        <v>31</v>
      </c>
      <c r="E25" s="12">
        <v>1045</v>
      </c>
      <c r="F25" s="12">
        <v>122</v>
      </c>
      <c r="G25" s="12">
        <v>5</v>
      </c>
      <c r="H25" s="12">
        <v>4.9</v>
      </c>
      <c r="I25" s="12">
        <f>((G25*E25)+(H25*F25))/SUM(E25,F25)</f>
        <v>4.989545844044559</v>
      </c>
      <c r="J25" s="12">
        <f>IF(K25&gt;0,1,0)</f>
        <v>1</v>
      </c>
      <c r="K25" s="12">
        <v>30</v>
      </c>
      <c r="L25" s="12">
        <v>0</v>
      </c>
      <c r="M25" s="12">
        <v>0</v>
      </c>
      <c r="N25" s="12">
        <v>0</v>
      </c>
      <c r="O25" s="12">
        <f>(L25*0.5)+(M25*0.4)+(N25*0.1)</f>
        <v>0</v>
      </c>
      <c r="P25" s="12">
        <v>398</v>
      </c>
      <c r="Q25" s="18">
        <f>ABS(G25-H25)</f>
        <v>0.09999999999999964</v>
      </c>
      <c r="R25" s="18">
        <f>ABS(G25-I25)</f>
        <v>0.010454155955440747</v>
      </c>
      <c r="S25" s="18">
        <f>ABS(H25-I25)</f>
        <v>0.0895458440445589</v>
      </c>
      <c r="T25" s="19">
        <f>SUM(E25,F25)/P25</f>
        <v>2.9321608040201004</v>
      </c>
      <c r="U25" s="19">
        <f>LOG10(E25+F25)*I25</f>
        <v>15.303290643171366</v>
      </c>
      <c r="V25" s="19">
        <f>(L25/P25)*100</f>
        <v>0</v>
      </c>
      <c r="W25" s="19">
        <f>(M25/P25)*100</f>
        <v>0</v>
      </c>
      <c r="X25" s="19">
        <f>(N25/P25)*100</f>
        <v>0</v>
      </c>
      <c r="Y25" s="19">
        <f>(O25/P25)*100</f>
        <v>0</v>
      </c>
      <c r="Z25" s="19">
        <f>E25/F25</f>
        <v>8.565573770491802</v>
      </c>
      <c r="AA25" s="18">
        <f>(SUM(E25,F25)/(L25+0.1))/100</f>
        <v>116.7</v>
      </c>
      <c r="AB25" s="18">
        <f>(SUM(E25,F25)/(M25+0.1))/100</f>
        <v>116.7</v>
      </c>
      <c r="AC25" s="18">
        <f>(SUM(E25,F25)/(N25+0.1))/100</f>
        <v>116.7</v>
      </c>
      <c r="AD25" s="18">
        <f>(SUM(E25,F25)/(O25+0.1))/100</f>
        <v>116.7</v>
      </c>
    </row>
    <row r="26" ht="30.75">
      <c r="A26" s="29">
        <f>A25+1</f>
        <v>25</v>
      </c>
      <c r="B26" s="24" t="s">
        <v>29</v>
      </c>
      <c r="C26" s="24" t="s">
        <v>55</v>
      </c>
      <c r="D26" s="24" t="s">
        <v>31</v>
      </c>
      <c r="E26" s="13">
        <v>53575</v>
      </c>
      <c r="F26" s="13">
        <v>2469</v>
      </c>
      <c r="G26" s="13">
        <v>4.5</v>
      </c>
      <c r="H26" s="13">
        <v>3.9</v>
      </c>
      <c r="I26" s="12">
        <f>((G26*E26)+(H26*F26))/SUM(E26,F26)</f>
        <v>4.473567197202199</v>
      </c>
      <c r="J26" s="12">
        <f>IF(K26&gt;0,1,0)</f>
        <v>1</v>
      </c>
      <c r="K26" s="13">
        <v>33</v>
      </c>
      <c r="L26" s="13">
        <v>0</v>
      </c>
      <c r="M26" s="13">
        <v>0</v>
      </c>
      <c r="N26" s="13">
        <v>0</v>
      </c>
      <c r="O26" s="12">
        <f>(L26*0.5)+(M26*0.4)+(N26*0.1)</f>
        <v>0</v>
      </c>
      <c r="P26" s="13">
        <v>522</v>
      </c>
      <c r="Q26" s="18">
        <f>ABS(G26-H26)</f>
        <v>0.6000000000000001</v>
      </c>
      <c r="R26" s="18">
        <f>ABS(G26-I26)</f>
        <v>0.026432802797801358</v>
      </c>
      <c r="S26" s="18">
        <f>ABS(H26-I26)</f>
        <v>0.5735671972021987</v>
      </c>
      <c r="T26" s="19">
        <f>SUM(E26,F26)/P26</f>
        <v>107.3639846743295</v>
      </c>
      <c r="U26" s="19">
        <f>LOG10(E26+F26)*I26</f>
        <v>21.24286412587437</v>
      </c>
      <c r="V26" s="19">
        <f>(L26/P26)*100</f>
        <v>0</v>
      </c>
      <c r="W26" s="19">
        <f>(M26/P26)*100</f>
        <v>0</v>
      </c>
      <c r="X26" s="19">
        <f>(N26/P26)*100</f>
        <v>0</v>
      </c>
      <c r="Y26" s="19">
        <f>(O26/P26)*100</f>
        <v>0</v>
      </c>
      <c r="Z26" s="19">
        <f>E26/F26</f>
        <v>21.69906844876468</v>
      </c>
      <c r="AA26" s="18">
        <f>(SUM(E26,F26)/(L26+0.1))/100</f>
        <v>5604.4</v>
      </c>
      <c r="AB26" s="18">
        <f>(SUM(E26,F26)/(M26+0.1))/100</f>
        <v>5604.4</v>
      </c>
      <c r="AC26" s="18">
        <f>(SUM(E26,F26)/(N26+0.1))/100</f>
        <v>5604.4</v>
      </c>
      <c r="AD26" s="18">
        <f>(SUM(E26,F26)/(O26+0.1))/100</f>
        <v>5604.4</v>
      </c>
    </row>
    <row r="27" ht="30.75">
      <c r="A27" s="29">
        <f>A26+1</f>
        <v>26</v>
      </c>
      <c r="B27" s="24" t="s">
        <v>29</v>
      </c>
      <c r="C27" s="20" t="s">
        <v>59</v>
      </c>
      <c r="D27" s="20" t="s">
        <v>60</v>
      </c>
      <c r="E27" s="16">
        <v>1503</v>
      </c>
      <c r="F27" s="16">
        <v>1</v>
      </c>
      <c r="G27" s="16">
        <v>4.3</v>
      </c>
      <c r="H27" s="16">
        <v>0</v>
      </c>
      <c r="I27" s="16">
        <f>((G27*E27)+(H27*F27))/SUM(E27,F27)</f>
        <v>4.297140957446809</v>
      </c>
      <c r="J27" s="12">
        <f>IF(K27&gt;0,1,0)</f>
        <v>0</v>
      </c>
      <c r="K27" s="16">
        <v>0</v>
      </c>
      <c r="L27" s="16">
        <v>806</v>
      </c>
      <c r="M27" s="16">
        <v>0</v>
      </c>
      <c r="N27" s="16">
        <v>0</v>
      </c>
      <c r="O27" s="12">
        <f>(L27*0.5)+(M27*0.4)+(N27*0.1)</f>
        <v>403</v>
      </c>
      <c r="P27" s="16">
        <v>1540</v>
      </c>
      <c r="Q27" s="14">
        <f>ABS(G27-H27)</f>
        <v>4.3</v>
      </c>
      <c r="R27" s="14">
        <f>ABS(H27-I27)</f>
        <v>4.297140957446809</v>
      </c>
      <c r="S27" s="14">
        <f>ABS(H27-I27)</f>
        <v>4.297140957446809</v>
      </c>
      <c r="T27" s="15">
        <f>SUM(E27,F27)/P27</f>
        <v>0.9766233766233766</v>
      </c>
      <c r="U27" s="15">
        <f>LOG10(E27+F27)*I27</f>
        <v>13.65308180913329</v>
      </c>
      <c r="V27" s="15">
        <f>(L27/P27)*100</f>
        <v>52.33766233766234</v>
      </c>
      <c r="W27" s="15">
        <f>(M27/P27)*100</f>
        <v>0</v>
      </c>
      <c r="X27" s="15">
        <f>(N27/P27)*100</f>
        <v>0</v>
      </c>
      <c r="Y27" s="19">
        <f>(O27/P27)*100</f>
        <v>26.16883116883117</v>
      </c>
      <c r="Z27" s="15">
        <f>E27/F27</f>
        <v>1503</v>
      </c>
      <c r="AA27" s="14">
        <f>(SUM(E27,F27)/(L27+0.1))/100</f>
        <v>0.018657734772360747</v>
      </c>
      <c r="AB27" s="14">
        <f>(SUM(E27,F27)/(M27+0.1))/100</f>
        <v>150.4</v>
      </c>
      <c r="AC27" s="14">
        <f>(SUM(E27,F27)/(N27+0.1))/100</f>
        <v>150.4</v>
      </c>
      <c r="AD27" s="18">
        <f>(SUM(E27,F27)/(O27+0.1))/100</f>
        <v>0.0373108409823865</v>
      </c>
    </row>
    <row r="28" ht="30.75">
      <c r="A28" s="29">
        <f>A27+1</f>
        <v>27</v>
      </c>
      <c r="B28" s="24" t="s">
        <v>29</v>
      </c>
      <c r="C28" s="21" t="s">
        <v>62</v>
      </c>
      <c r="D28" s="20" t="s">
        <v>60</v>
      </c>
      <c r="E28" s="17">
        <v>52</v>
      </c>
      <c r="F28" s="17">
        <v>657</v>
      </c>
      <c r="G28" s="17">
        <v>4.8</v>
      </c>
      <c r="H28" s="17">
        <v>4.4</v>
      </c>
      <c r="I28" s="16">
        <f>((G28*E28)+(H28*F28))/SUM(E28,F28)</f>
        <v>4.429337094499295</v>
      </c>
      <c r="J28" s="12">
        <f>IF(K28&gt;0,1,0)</f>
        <v>1</v>
      </c>
      <c r="K28" s="17">
        <v>40</v>
      </c>
      <c r="L28" s="17">
        <v>537</v>
      </c>
      <c r="M28" s="17">
        <v>93</v>
      </c>
      <c r="N28" s="17">
        <v>0</v>
      </c>
      <c r="O28" s="12">
        <f>(L28*0.5)+(M28*0.4)+(N28*0.1)</f>
        <v>305.7</v>
      </c>
      <c r="P28" s="17">
        <v>1700</v>
      </c>
      <c r="Q28" s="14">
        <f>ABS(G28-H28)</f>
        <v>0.39999999999999947</v>
      </c>
      <c r="R28" s="14">
        <f>ABS(H28-I28)</f>
        <v>0.029337094499294558</v>
      </c>
      <c r="S28" s="14">
        <f>ABS(H28-I28)</f>
        <v>0.029337094499294558</v>
      </c>
      <c r="T28" s="15">
        <f>SUM(E28,F28)/P28</f>
        <v>0.41705882352941176</v>
      </c>
      <c r="U28" s="15">
        <f>LOG10(E28+F28)*I28</f>
        <v>12.626473112791118</v>
      </c>
      <c r="V28" s="15">
        <f>(L28/P28)*100</f>
        <v>31.588235294117645</v>
      </c>
      <c r="W28" s="15">
        <f>(M28/P28)*100</f>
        <v>5.470588235294118</v>
      </c>
      <c r="X28" s="15">
        <f>(N28/P28)*100</f>
        <v>0</v>
      </c>
      <c r="Y28" s="19">
        <f>(O28/P28)*100</f>
        <v>17.98235294117647</v>
      </c>
      <c r="Z28" s="15">
        <f>E28/F28</f>
        <v>0.0791476407914764</v>
      </c>
      <c r="AA28" s="14">
        <f>(SUM(E28,F28)/(L28+0.1))/100</f>
        <v>0.013200521318190281</v>
      </c>
      <c r="AB28" s="14">
        <f>(SUM(E28,F28)/(M28+0.1))/100</f>
        <v>0.0761546723952739</v>
      </c>
      <c r="AC28" s="14">
        <f>(SUM(E28,F28)/(N28+0.1))/100</f>
        <v>70.9</v>
      </c>
      <c r="AD28" s="18">
        <f>(SUM(E28,F28)/(O28+0.1))/100</f>
        <v>0.023185088293001963</v>
      </c>
    </row>
    <row r="29" ht="30.75">
      <c r="A29" s="29">
        <f>A28+1</f>
        <v>28</v>
      </c>
      <c r="B29" s="24" t="s">
        <v>29</v>
      </c>
      <c r="C29" s="20" t="s">
        <v>63</v>
      </c>
      <c r="D29" s="20" t="s">
        <v>60</v>
      </c>
      <c r="E29" s="16">
        <v>165</v>
      </c>
      <c r="F29" s="16">
        <v>3</v>
      </c>
      <c r="G29" s="17">
        <v>4.8</v>
      </c>
      <c r="H29" s="16">
        <v>4.3</v>
      </c>
      <c r="I29" s="16">
        <f>((G29*E29)+(H29*F29))/SUM(E29,F29)</f>
        <v>4.791071428571429</v>
      </c>
      <c r="J29" s="12">
        <f>IF(K29&gt;0,1,0)</f>
        <v>1</v>
      </c>
      <c r="K29" s="16">
        <v>254</v>
      </c>
      <c r="L29" s="16">
        <v>347</v>
      </c>
      <c r="M29" s="16">
        <v>0</v>
      </c>
      <c r="N29" s="16">
        <v>0</v>
      </c>
      <c r="O29" s="12">
        <f>(L29*0.5)+(M29*0.4)+(N29*0.1)</f>
        <v>173.5</v>
      </c>
      <c r="P29" s="16">
        <v>1250</v>
      </c>
      <c r="Q29" s="14">
        <f>ABS(G29-H29)</f>
        <v>0.5</v>
      </c>
      <c r="R29" s="14">
        <f>ABS(H29-I29)</f>
        <v>0.4910714285714288</v>
      </c>
      <c r="S29" s="14">
        <f>ABS(H29-I29)</f>
        <v>0.4910714285714288</v>
      </c>
      <c r="T29" s="15">
        <f>SUM(E29,F29)/P29</f>
        <v>0.1344</v>
      </c>
      <c r="U29" s="15">
        <f>LOG10(E29+F29)*I29</f>
        <v>10.66161571941159</v>
      </c>
      <c r="V29" s="15">
        <f>(L29/P29)*100</f>
        <v>27.76</v>
      </c>
      <c r="W29" s="15">
        <f>(M29/P29)*100</f>
        <v>0</v>
      </c>
      <c r="X29" s="15">
        <f>(N29/P29)*100</f>
        <v>0</v>
      </c>
      <c r="Y29" s="19">
        <f>(O29/P29)*100</f>
        <v>13.88</v>
      </c>
      <c r="Z29" s="15">
        <f>E29/F29</f>
        <v>55</v>
      </c>
      <c r="AA29" s="14">
        <f>(SUM(E29,F29)/(L29+0.1))/100</f>
        <v>0.0048401037165082105</v>
      </c>
      <c r="AB29" s="14">
        <f>(SUM(E29,F29)/(M29+0.1))/100</f>
        <v>16.8</v>
      </c>
      <c r="AC29" s="14">
        <f>(SUM(E29,F29)/(N29+0.1))/100</f>
        <v>16.8</v>
      </c>
      <c r="AD29" s="18">
        <f>(SUM(E29,F29)/(O29+0.1))/100</f>
        <v>0.00967741935483871</v>
      </c>
    </row>
    <row r="30" ht="30.75">
      <c r="A30" s="29">
        <f>A29+1</f>
        <v>29</v>
      </c>
      <c r="B30" s="24" t="s">
        <v>29</v>
      </c>
      <c r="C30" s="20" t="s">
        <v>64</v>
      </c>
      <c r="D30" s="20" t="s">
        <v>60</v>
      </c>
      <c r="E30" s="16">
        <v>21</v>
      </c>
      <c r="F30" s="16">
        <v>1</v>
      </c>
      <c r="G30" s="16">
        <v>4.5</v>
      </c>
      <c r="H30" s="16">
        <v>0</v>
      </c>
      <c r="I30" s="16">
        <f>((G30*E30)+(H30*F30))/SUM(E30,F30)</f>
        <v>4.295454545454546</v>
      </c>
      <c r="J30" s="12">
        <f>IF(K30&gt;0,1,0)</f>
        <v>0</v>
      </c>
      <c r="K30" s="16">
        <v>0</v>
      </c>
      <c r="L30" s="16">
        <v>182</v>
      </c>
      <c r="M30" s="16">
        <v>0</v>
      </c>
      <c r="N30" s="16">
        <v>0</v>
      </c>
      <c r="O30" s="12">
        <f>(L30*0.5)+(M30*0.4)+(N30*0.1)</f>
        <v>91</v>
      </c>
      <c r="P30" s="16">
        <v>864</v>
      </c>
      <c r="Q30" s="14">
        <f>ABS(G30-H30)</f>
        <v>4.5</v>
      </c>
      <c r="R30" s="14">
        <f>ABS(H30-I30)</f>
        <v>4.295454545454546</v>
      </c>
      <c r="S30" s="14">
        <f>ABS(H30-I30)</f>
        <v>4.295454545454546</v>
      </c>
      <c r="T30" s="15">
        <f>SUM(E30,F30)/P30</f>
        <v>0.02546296296296296</v>
      </c>
      <c r="U30" s="15">
        <f>LOG10(E30+F30)*I30</f>
        <v>5.766315606259022</v>
      </c>
      <c r="V30" s="15">
        <f>(L30/P30)*100</f>
        <v>21.064814814814813</v>
      </c>
      <c r="W30" s="15">
        <f>(M30/P30)*100</f>
        <v>0</v>
      </c>
      <c r="X30" s="15">
        <f>(N30/P30)*100</f>
        <v>0</v>
      </c>
      <c r="Y30" s="19">
        <f>(O30/P30)*100</f>
        <v>10.532407407407407</v>
      </c>
      <c r="Z30" s="15">
        <f>E30/F30</f>
        <v>21</v>
      </c>
      <c r="AA30" s="14">
        <f>(SUM(E30,F30)/(L30+0.1))/100</f>
        <v>0.0012081274025260845</v>
      </c>
      <c r="AB30" s="14">
        <f>(SUM(E30,F30)/(M30+0.1))/100</f>
        <v>2.2</v>
      </c>
      <c r="AC30" s="14">
        <f>(SUM(E30,F30)/(N30+0.1))/100</f>
        <v>2.2</v>
      </c>
      <c r="AD30" s="18">
        <f>(SUM(E30,F30)/(O30+0.1))/100</f>
        <v>0.002414928649835346</v>
      </c>
    </row>
    <row r="31" ht="30.75">
      <c r="A31" s="29">
        <f>A30+1</f>
        <v>30</v>
      </c>
      <c r="B31" s="24" t="s">
        <v>29</v>
      </c>
      <c r="C31" s="20" t="s">
        <v>65</v>
      </c>
      <c r="D31" s="20" t="s">
        <v>60</v>
      </c>
      <c r="E31" s="16">
        <v>46</v>
      </c>
      <c r="F31" s="16">
        <v>17</v>
      </c>
      <c r="G31" s="14">
        <v>4.7</v>
      </c>
      <c r="H31" s="16">
        <v>3.7</v>
      </c>
      <c r="I31" s="16">
        <f>((G31*E31)+(H31*F31))/SUM(E31,F31)</f>
        <v>4.43015873015873</v>
      </c>
      <c r="J31" s="12">
        <f>IF(K31&gt;0,1,0)</f>
        <v>1</v>
      </c>
      <c r="K31" s="14">
        <v>187</v>
      </c>
      <c r="L31" s="16">
        <v>13</v>
      </c>
      <c r="M31" s="16">
        <v>390</v>
      </c>
      <c r="N31" s="16">
        <v>0</v>
      </c>
      <c r="O31" s="12">
        <f>(L31*0.5)+(M31*0.4)+(N31*0.1)</f>
        <v>162.5</v>
      </c>
      <c r="P31" s="14">
        <v>671</v>
      </c>
      <c r="Q31" s="14">
        <f>ABS(G31-H31)</f>
        <v>1</v>
      </c>
      <c r="R31" s="14">
        <f>ABS(H31-I31)</f>
        <v>0.7301587301587302</v>
      </c>
      <c r="S31" s="14">
        <f>ABS(H31-I31)</f>
        <v>0.7301587301587302</v>
      </c>
      <c r="T31" s="15">
        <f>SUM(E31,F31)/P31</f>
        <v>0.09388971684053651</v>
      </c>
      <c r="U31" s="15">
        <f>LOG10(E31+F31)*I31</f>
        <v>7.971364243690392</v>
      </c>
      <c r="V31" s="15">
        <f>(L31/P31)*100</f>
        <v>1.9374068554396422</v>
      </c>
      <c r="W31" s="15">
        <f>(M31/P31)*100</f>
        <v>58.12220566318928</v>
      </c>
      <c r="X31" s="15">
        <f>(N31/P31)*100</f>
        <v>0</v>
      </c>
      <c r="Y31" s="19">
        <f>(O31/P31)*100</f>
        <v>24.21758569299553</v>
      </c>
      <c r="Z31" s="14">
        <f>E31/F31</f>
        <v>2.7058823529411766</v>
      </c>
      <c r="AA31" s="14">
        <f>(SUM(E31,F31)/(L31+0.1))/100</f>
        <v>0.048091603053435114</v>
      </c>
      <c r="AB31" s="14">
        <f>(SUM(E31,F31)/(M31+0.1))/100</f>
        <v>0.0016149705203793898</v>
      </c>
      <c r="AC31" s="14">
        <f>(SUM(E31,F31)/(N31+0.1))/100</f>
        <v>6.3</v>
      </c>
      <c r="AD31" s="18">
        <f>(SUM(E31,F31)/(O31+0.1))/100</f>
        <v>0.0038745387453874543</v>
      </c>
    </row>
    <row r="32" ht="30.75">
      <c r="A32" s="29">
        <f>A31+1</f>
        <v>31</v>
      </c>
      <c r="B32" s="24" t="s">
        <v>29</v>
      </c>
      <c r="C32" s="20" t="s">
        <v>66</v>
      </c>
      <c r="D32" s="20" t="s">
        <v>60</v>
      </c>
      <c r="E32" s="16">
        <v>64</v>
      </c>
      <c r="F32" s="16">
        <v>1</v>
      </c>
      <c r="G32" s="14">
        <v>4.5</v>
      </c>
      <c r="H32" s="16">
        <v>0</v>
      </c>
      <c r="I32" s="16">
        <f>((G32*E32)+(H32*F32))/SUM(E32,F32)</f>
        <v>4.430769230769231</v>
      </c>
      <c r="J32" s="12">
        <f>IF(K32&gt;0,1,0)</f>
        <v>0</v>
      </c>
      <c r="K32" s="14">
        <v>0</v>
      </c>
      <c r="L32" s="16">
        <v>0</v>
      </c>
      <c r="M32" s="16">
        <v>272</v>
      </c>
      <c r="N32" s="16">
        <v>50</v>
      </c>
      <c r="O32" s="12">
        <f>(L32*0.5)+(M32*0.4)+(N32*0.1)</f>
        <v>113.80000000000001</v>
      </c>
      <c r="P32" s="14">
        <v>363</v>
      </c>
      <c r="Q32" s="14">
        <f>ABS(G32-H32)</f>
        <v>4.5</v>
      </c>
      <c r="R32" s="14">
        <f>ABS(H32-I32)</f>
        <v>4.430769230769231</v>
      </c>
      <c r="S32" s="14">
        <f>ABS(H32-I32)</f>
        <v>4.430769230769231</v>
      </c>
      <c r="T32" s="15">
        <f>SUM(E32,F32)/P32</f>
        <v>0.1790633608815427</v>
      </c>
      <c r="U32" s="15">
        <f>LOG10(E32+F32)*I32</f>
        <v>8.03260071866373</v>
      </c>
      <c r="V32" s="15">
        <f>(L32/P32)*100</f>
        <v>0</v>
      </c>
      <c r="W32" s="15">
        <f>(M32/P32)*100</f>
        <v>74.93112947658402</v>
      </c>
      <c r="X32" s="15">
        <f>(N32/P32)*100</f>
        <v>13.774104683195592</v>
      </c>
      <c r="Y32" s="19">
        <f>(O32/P32)*100</f>
        <v>31.34986225895317</v>
      </c>
      <c r="Z32" s="15">
        <f>E32/F32</f>
        <v>64</v>
      </c>
      <c r="AA32" s="14">
        <f>(SUM(E32,F32)/(L32+0.1))/100</f>
        <v>6.5</v>
      </c>
      <c r="AB32" s="14">
        <f>(SUM(E32,F32)/(M32+0.1))/100</f>
        <v>0.0023888276368981987</v>
      </c>
      <c r="AC32" s="14">
        <f>(SUM(E32,F32)/(N32+0.1))/100</f>
        <v>0.012974051896207584</v>
      </c>
      <c r="AD32" s="18">
        <f>(SUM(E32,F32)/(O32+0.1))/100</f>
        <v>0.005706760316066725</v>
      </c>
    </row>
    <row r="33" ht="30.75">
      <c r="A33" s="29">
        <f>A32+1</f>
        <v>32</v>
      </c>
      <c r="B33" s="24" t="s">
        <v>29</v>
      </c>
      <c r="C33" s="20" t="s">
        <v>67</v>
      </c>
      <c r="D33" s="20" t="s">
        <v>60</v>
      </c>
      <c r="E33" s="16">
        <v>388</v>
      </c>
      <c r="F33" s="16">
        <v>1</v>
      </c>
      <c r="G33" s="14">
        <v>4.4</v>
      </c>
      <c r="H33" s="16">
        <v>5</v>
      </c>
      <c r="I33" s="16">
        <f>((G33*E33)+(H33*F33))/SUM(E33,F33)</f>
        <v>4.401542416452442</v>
      </c>
      <c r="J33" s="12">
        <f>IF(K33&gt;0,1,0)</f>
        <v>1</v>
      </c>
      <c r="K33" s="14">
        <v>355</v>
      </c>
      <c r="L33" s="16">
        <v>0</v>
      </c>
      <c r="M33" s="16">
        <v>183</v>
      </c>
      <c r="N33" s="16">
        <v>133</v>
      </c>
      <c r="O33" s="12">
        <f>(L33*0.5)+(M33*0.4)+(N33*0.1)</f>
        <v>86.5</v>
      </c>
      <c r="P33" s="14">
        <v>1520</v>
      </c>
      <c r="Q33" s="14">
        <f>ABS(G33-H33)</f>
        <v>0.5999999999999996</v>
      </c>
      <c r="R33" s="14">
        <f>ABS(H33-I33)</f>
        <v>0.5984575835475576</v>
      </c>
      <c r="S33" s="14">
        <f>ABS(H33-I33)</f>
        <v>0.5984575835475576</v>
      </c>
      <c r="T33" s="15">
        <f>SUM(E33,F33)/P33</f>
        <v>0.25592105263157894</v>
      </c>
      <c r="U33" s="15">
        <f>LOG10(E33+F33)*I33</f>
        <v>11.399773026709195</v>
      </c>
      <c r="V33" s="15">
        <f>(L33/P33)*100</f>
        <v>0</v>
      </c>
      <c r="W33" s="15">
        <f>(M33/P33)*100</f>
        <v>12.039473684210526</v>
      </c>
      <c r="X33" s="15">
        <f>(N33/P33)*100</f>
        <v>8.75</v>
      </c>
      <c r="Y33" s="19">
        <f>(O33/P33)*100</f>
        <v>5.690789473684211</v>
      </c>
      <c r="Z33" s="15">
        <f>E33/F33</f>
        <v>388</v>
      </c>
      <c r="AA33" s="14">
        <f>(SUM(E33,F33)/(L33+0.1))/100</f>
        <v>38.9</v>
      </c>
      <c r="AB33" s="14">
        <f>(SUM(E33,F33)/(M33+0.1))/100</f>
        <v>0.021245221190606223</v>
      </c>
      <c r="AC33" s="14">
        <f>(SUM(E33,F33)/(N33+0.1))/100</f>
        <v>0.02922614575507138</v>
      </c>
      <c r="AD33" s="18">
        <f>(SUM(E33,F33)/(O33+0.1))/100</f>
        <v>0.044919168591224024</v>
      </c>
    </row>
    <row r="34" ht="30.75">
      <c r="A34" s="29">
        <f>A33+1</f>
        <v>33</v>
      </c>
      <c r="B34" s="24" t="s">
        <v>29</v>
      </c>
      <c r="C34" s="20" t="s">
        <v>68</v>
      </c>
      <c r="D34" s="20" t="s">
        <v>60</v>
      </c>
      <c r="E34" s="16">
        <v>4300</v>
      </c>
      <c r="F34" s="16">
        <v>42</v>
      </c>
      <c r="G34" s="14">
        <v>4.5</v>
      </c>
      <c r="H34" s="16">
        <v>3.8</v>
      </c>
      <c r="I34" s="16">
        <f>((G34*E34)+(H34*F34))/SUM(E34,F34)</f>
        <v>4.49322892676186</v>
      </c>
      <c r="J34" s="12">
        <f>IF(K34&gt;0,1,0)</f>
        <v>1</v>
      </c>
      <c r="K34" s="14">
        <v>107</v>
      </c>
      <c r="L34" s="16">
        <v>33</v>
      </c>
      <c r="M34" s="16">
        <v>163</v>
      </c>
      <c r="N34" s="16">
        <v>150</v>
      </c>
      <c r="O34" s="12">
        <f>(L34*0.5)+(M34*0.4)+(N34*0.1)</f>
        <v>96.7</v>
      </c>
      <c r="P34" s="14">
        <v>1870</v>
      </c>
      <c r="Q34" s="14">
        <f>ABS(G34-H34)</f>
        <v>0.7000000000000002</v>
      </c>
      <c r="R34" s="14">
        <f>ABS(H34-I34)</f>
        <v>0.6932289267618605</v>
      </c>
      <c r="S34" s="14">
        <f>ABS(H34-I34)</f>
        <v>0.6932289267618605</v>
      </c>
      <c r="T34" s="15">
        <f>SUM(E34,F34)/P34</f>
        <v>2.3219251336898394</v>
      </c>
      <c r="U34" s="15">
        <f>LOG10(E34+F34)*I34</f>
        <v>16.344973121849918</v>
      </c>
      <c r="V34" s="15">
        <f>(L34/P34)*100</f>
        <v>1.7647058823529411</v>
      </c>
      <c r="W34" s="15">
        <f>(M34/P34)*100</f>
        <v>8.71657754010695</v>
      </c>
      <c r="X34" s="15">
        <f>(N34/P34)*100</f>
        <v>8.02139037433155</v>
      </c>
      <c r="Y34" s="19">
        <f>(O34/P34)*100</f>
        <v>5.171122994652406</v>
      </c>
      <c r="Z34" s="15">
        <f>E34/F34</f>
        <v>102.38095238095238</v>
      </c>
      <c r="AA34" s="14">
        <f>(SUM(E34,F34)/(L34+0.1))/100</f>
        <v>1.3117824773413898</v>
      </c>
      <c r="AB34" s="14">
        <f>(SUM(E34,F34)/(M34+0.1))/100</f>
        <v>0.2662170447578173</v>
      </c>
      <c r="AC34" s="14">
        <f>(SUM(E34,F34)/(N34+0.1))/100</f>
        <v>0.28927381745503</v>
      </c>
      <c r="AD34" s="18">
        <f>(SUM(E34,F34)/(O34+0.1))/100</f>
        <v>0.44855371900826446</v>
      </c>
    </row>
    <row r="35" ht="30.75">
      <c r="A35" s="29">
        <f>A34+1</f>
        <v>34</v>
      </c>
      <c r="B35" s="24" t="s">
        <v>29</v>
      </c>
      <c r="C35" s="20" t="s">
        <v>69</v>
      </c>
      <c r="D35" s="20" t="s">
        <v>60</v>
      </c>
      <c r="E35" s="16">
        <v>1</v>
      </c>
      <c r="F35" s="16">
        <v>1</v>
      </c>
      <c r="G35" s="14">
        <v>1</v>
      </c>
      <c r="H35" s="16">
        <v>0</v>
      </c>
      <c r="I35" s="16">
        <f>((G35*E35)+(H35*F35))/SUM(E35,F35)</f>
        <v>0.5</v>
      </c>
      <c r="J35" s="12">
        <f>IF(K35&gt;0,1,0)</f>
        <v>0</v>
      </c>
      <c r="K35" s="14">
        <v>0</v>
      </c>
      <c r="L35" s="16">
        <v>0</v>
      </c>
      <c r="M35" s="16">
        <v>140</v>
      </c>
      <c r="N35" s="16">
        <v>0</v>
      </c>
      <c r="O35" s="12">
        <f>(L35*0.5)+(M35*0.4)+(N35*0.1)</f>
        <v>56</v>
      </c>
      <c r="P35" s="14">
        <v>1140</v>
      </c>
      <c r="Q35" s="14">
        <f>ABS(G35-H35)</f>
        <v>1</v>
      </c>
      <c r="R35" s="14">
        <f>ABS(H35-I35)</f>
        <v>0.5</v>
      </c>
      <c r="S35" s="14">
        <f>ABS(H35-I35)</f>
        <v>0.5</v>
      </c>
      <c r="T35" s="15">
        <f>SUM(E35,F35)/P35</f>
        <v>0.0017543859649122807</v>
      </c>
      <c r="U35" s="15">
        <f>LOG10(E35+F35)*I35</f>
        <v>0.1505149978319906</v>
      </c>
      <c r="V35" s="15">
        <f>(L35/P35)*100</f>
        <v>0</v>
      </c>
      <c r="W35" s="15">
        <f>(M35/P35)*100</f>
        <v>12.280701754385964</v>
      </c>
      <c r="X35" s="15">
        <f>(N35/P35)*100</f>
        <v>0</v>
      </c>
      <c r="Y35" s="19">
        <f>(O35/P35)*100</f>
        <v>4.912280701754386</v>
      </c>
      <c r="Z35" s="15">
        <f>E35/F35</f>
        <v>1</v>
      </c>
      <c r="AA35" s="14">
        <f>(SUM(E35,F35)/(L35+0.1))/100</f>
        <v>0.2</v>
      </c>
      <c r="AB35" s="14">
        <f>(SUM(E35,F35)/(M35+0.1))/100</f>
        <v>0.00014275517487508923</v>
      </c>
      <c r="AC35" s="14">
        <f>(SUM(E35,F35)/(N35+0.1))/100</f>
        <v>0.2</v>
      </c>
      <c r="AD35" s="18">
        <f>(SUM(E35,F35)/(O35+0.1))/100</f>
        <v>0.00035650623885918</v>
      </c>
    </row>
    <row r="36" ht="30.75">
      <c r="A36" s="29">
        <f>A35+1</f>
        <v>35</v>
      </c>
      <c r="B36" s="24" t="s">
        <v>29</v>
      </c>
      <c r="C36" s="20" t="s">
        <v>70</v>
      </c>
      <c r="D36" s="20" t="s">
        <v>60</v>
      </c>
      <c r="E36" s="16">
        <v>0</v>
      </c>
      <c r="F36" s="16">
        <v>1</v>
      </c>
      <c r="G36" s="14">
        <v>0</v>
      </c>
      <c r="H36" s="16">
        <v>0</v>
      </c>
      <c r="I36" s="16">
        <v>0</v>
      </c>
      <c r="J36" s="12">
        <f>IF(K36&gt;0,1,0)</f>
        <v>0</v>
      </c>
      <c r="K36" s="14">
        <v>0</v>
      </c>
      <c r="L36" s="16">
        <v>0</v>
      </c>
      <c r="M36" s="16">
        <v>112</v>
      </c>
      <c r="N36" s="16">
        <v>25</v>
      </c>
      <c r="O36" s="12">
        <f>(L36*0.5)+(M36*0.4)+(N36*0.1)</f>
        <v>47.300000000000004</v>
      </c>
      <c r="P36" s="14">
        <v>1560</v>
      </c>
      <c r="Q36" s="14">
        <f>ABS(G36-H36)</f>
        <v>0</v>
      </c>
      <c r="R36" s="14">
        <f>ABS(H36-I36)</f>
        <v>0</v>
      </c>
      <c r="S36" s="14">
        <f>ABS(H36-I36)</f>
        <v>0</v>
      </c>
      <c r="T36" s="15">
        <f>SUM(E36,F36)/P36</f>
        <v>0.000641025641025641</v>
      </c>
      <c r="U36" s="15">
        <v>0</v>
      </c>
      <c r="V36" s="15">
        <f>(L36/P36)*100</f>
        <v>0</v>
      </c>
      <c r="W36" s="15">
        <f>(M36/P36)*100</f>
        <v>7.179487179487179</v>
      </c>
      <c r="X36" s="15">
        <f>(N36/P36)*100</f>
        <v>1.6025641025641024</v>
      </c>
      <c r="Y36" s="19">
        <f>(O36/P36)*100</f>
        <v>3.0320512820512824</v>
      </c>
      <c r="Z36" s="15">
        <f>E36/F36</f>
        <v>0</v>
      </c>
      <c r="AA36" s="14">
        <f>(SUM(E36,F36)/(L36+0.1))/100</f>
        <v>0.1</v>
      </c>
      <c r="AB36" s="14">
        <f>(SUM(E36,F36)/(M36+0.1))/100</f>
        <v>8.920606601248885E-5</v>
      </c>
      <c r="AC36" s="14">
        <f>(SUM(E36,F36)/(N36+0.1))/100</f>
        <v>0.00039840637450199205</v>
      </c>
      <c r="AD36" s="18">
        <f>(SUM(E36,F36)/(O36+0.1))/100</f>
        <v>0.0002109704641350211</v>
      </c>
    </row>
    <row r="37">
      <c r="A37" s="10"/>
    </row>
  </sheetData>
  <pageMargins left="0.699999988079071" right="0.699999988079071" top="0.75" bottom="0.75" header="0.30000001192092896" footer="0.30000001192092896"/>
  <pageSetup orientation="portrait"/>
  <legacyDrawing r:id="rId2"/>
</worksheet>
</file>

<file path=xl/worksheets/sheet4.xml><?xml version="1.0" encoding="utf-8"?>
<worksheet xmlns="http://schemas.openxmlformats.org/spreadsheetml/2006/main" xmlns:r="http://schemas.openxmlformats.org/officeDocument/2006/relationships">
  <dimension ref="A1:BE36"/>
  <sheetViews>
    <sheetView zoomScale="85" zoomScaleNormal="85" topLeftCell="X1" workbookViewId="0">
      <selection activeCell="C39" sqref="C39"/>
    </sheetView>
  </sheetViews>
  <sheetFormatPr defaultColWidth="11.421875" defaultRowHeight="15"/>
  <sheetData>
    <row r="1">
      <c r="A1" t="s">
        <v>72</v>
      </c>
      <c r="B1" t="s">
        <v>73</v>
      </c>
      <c r="C1" t="s">
        <v>74</v>
      </c>
      <c r="D1" t="s">
        <v>75</v>
      </c>
      <c r="E1" t="s">
        <v>76</v>
      </c>
      <c r="F1" t="s">
        <v>77</v>
      </c>
      <c r="G1" t="s">
        <v>78</v>
      </c>
      <c r="H1" t="s">
        <v>79</v>
      </c>
      <c r="I1" t="s">
        <v>80</v>
      </c>
      <c r="J1" t="s">
        <v>81</v>
      </c>
      <c r="K1" t="s">
        <v>82</v>
      </c>
      <c r="L1" t="s">
        <v>83</v>
      </c>
      <c r="M1" t="s">
        <v>84</v>
      </c>
      <c r="N1" t="s">
        <v>85</v>
      </c>
      <c r="O1" t="s">
        <v>86</v>
      </c>
      <c r="P1" t="s">
        <v>87</v>
      </c>
      <c r="Q1" t="s">
        <v>88</v>
      </c>
      <c r="R1" t="s">
        <v>89</v>
      </c>
      <c r="S1" t="s">
        <v>90</v>
      </c>
      <c r="T1" t="s">
        <v>91</v>
      </c>
      <c r="U1" t="s">
        <v>92</v>
      </c>
      <c r="V1" t="s">
        <v>93</v>
      </c>
      <c r="W1" t="s">
        <v>94</v>
      </c>
      <c r="X1" t="s">
        <v>95</v>
      </c>
      <c r="Y1" t="s">
        <v>96</v>
      </c>
      <c r="Z1" t="s">
        <v>97</v>
      </c>
      <c r="AA1" t="s">
        <v>98</v>
      </c>
      <c r="AB1" t="s">
        <v>99</v>
      </c>
      <c r="AC1" t="s">
        <v>100</v>
      </c>
      <c r="AD1" t="s">
        <v>101</v>
      </c>
    </row>
    <row r="2">
      <c r="A2" s="10">
        <f>'Atracciones Turísticas Completo'!A2</f>
        <v>1</v>
      </c>
      <c r="B2" s="10" t="str">
        <f>'Atracciones Turísticas Completo'!B2</f>
        <v>Atracción Turística</v>
      </c>
      <c r="C2" s="10" t="str">
        <f>'Atracciones Turísticas Completo'!C2</f>
        <v>Plaza de España</v>
      </c>
      <c r="D2" s="10" t="str">
        <f>'Atracciones Turísticas Completo'!D2</f>
        <v>TripAdvisor</v>
      </c>
      <c r="E2" s="9">
        <f>'Atracciones Turísticas Completo'!E2</f>
        <v>181284</v>
      </c>
      <c r="F2" s="9">
        <f>'Atracciones Turísticas Completo'!F2</f>
        <v>45480</v>
      </c>
      <c r="G2" s="9">
        <f>'Atracciones Turísticas Completo'!G2</f>
        <v>4.8</v>
      </c>
      <c r="H2" s="9">
        <f>'Atracciones Turísticas Completo'!H2</f>
        <v>4.8</v>
      </c>
      <c r="I2" s="9">
        <f>'Atracciones Turísticas Completo'!I2</f>
        <v>4.8</v>
      </c>
      <c r="J2" s="9">
        <f>'Atracciones Turísticas Completo'!J2</f>
        <v>1</v>
      </c>
      <c r="K2" s="9">
        <f>'Atracciones Turísticas Completo'!K2</f>
        <v>1</v>
      </c>
      <c r="L2" s="9">
        <f>'Atracciones Turísticas Completo'!L2</f>
        <v>0</v>
      </c>
      <c r="M2" s="9">
        <f>'Atracciones Turísticas Completo'!M2</f>
        <v>0</v>
      </c>
      <c r="N2" s="9">
        <f>'Atracciones Turísticas Completo'!N2</f>
        <v>0</v>
      </c>
      <c r="O2" s="9">
        <f>'Atracciones Turísticas Completo'!O2</f>
        <v>0</v>
      </c>
      <c r="P2" s="9">
        <f>'Atracciones Turísticas Completo'!P2</f>
        <v>1120</v>
      </c>
      <c r="Q2" s="9">
        <f>'Atracciones Turísticas Completo'!Q2</f>
        <v>0</v>
      </c>
      <c r="R2" s="9">
        <f>'Atracciones Turísticas Completo'!R2</f>
        <v>0</v>
      </c>
      <c r="S2" s="9">
        <f>'Atracciones Turísticas Completo'!S2</f>
        <v>0</v>
      </c>
      <c r="T2" s="9">
        <f>'Atracciones Turísticas Completo'!T2</f>
        <v>202.46785714285716</v>
      </c>
      <c r="U2" s="9">
        <f>'Atracciones Turísticas Completo'!U2</f>
        <v>25.706755723762367</v>
      </c>
      <c r="V2" s="9">
        <f>'Atracciones Turísticas Completo'!V2</f>
        <v>0</v>
      </c>
      <c r="W2" s="9">
        <f>'Atracciones Turísticas Completo'!W2</f>
        <v>0</v>
      </c>
      <c r="X2" s="9">
        <f>'Atracciones Turísticas Completo'!X2</f>
        <v>0</v>
      </c>
      <c r="Y2" s="9">
        <f>'Atracciones Turísticas Completo'!Y2</f>
        <v>0</v>
      </c>
      <c r="Z2" s="9">
        <f>'Atracciones Turísticas Completo'!Z2</f>
        <v>3.986015831134565</v>
      </c>
      <c r="AA2" s="9">
        <f>'Atracciones Turísticas Completo'!AA2</f>
        <v>22676.4</v>
      </c>
      <c r="AB2" s="9">
        <f>'Atracciones Turísticas Completo'!AB2</f>
        <v>22676.4</v>
      </c>
      <c r="AC2" s="9">
        <f>'Atracciones Turísticas Completo'!AC2</f>
        <v>22676.4</v>
      </c>
      <c r="AD2" s="9">
        <f>'Atracciones Turísticas Completo'!AD2</f>
        <v>22676.4</v>
      </c>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row>
    <row r="3">
      <c r="A3" s="10">
        <f>'Atracciones Turísticas Completo'!A3</f>
        <v>2</v>
      </c>
      <c r="B3" s="10" t="str">
        <f>'Atracciones Turísticas Completo'!B3</f>
        <v>Atracción Turística</v>
      </c>
      <c r="C3" s="10" t="str">
        <f>'Atracciones Turísticas Completo'!C3</f>
        <v>Real Alcázar de Sevilla</v>
      </c>
      <c r="D3" s="10" t="str">
        <f>'Atracciones Turísticas Completo'!D3</f>
        <v>TripAdvisor</v>
      </c>
      <c r="E3" s="9">
        <f>'Atracciones Turísticas Completo'!E3</f>
        <v>98150</v>
      </c>
      <c r="F3" s="9">
        <f>'Atracciones Turísticas Completo'!F3</f>
        <v>36806</v>
      </c>
      <c r="G3" s="9">
        <f>'Atracciones Turísticas Completo'!G3</f>
        <v>4.7</v>
      </c>
      <c r="H3" s="9">
        <f>'Atracciones Turísticas Completo'!H3</f>
        <v>4.7</v>
      </c>
      <c r="I3" s="9">
        <f>'Atracciones Turísticas Completo'!I3</f>
        <v>4.699999999999999</v>
      </c>
      <c r="J3" s="9">
        <f>'Atracciones Turísticas Completo'!J3</f>
        <v>1</v>
      </c>
      <c r="K3" s="9">
        <f>'Atracciones Turísticas Completo'!K3</f>
        <v>2</v>
      </c>
      <c r="L3" s="9">
        <f>'Atracciones Turísticas Completo'!L3</f>
        <v>0</v>
      </c>
      <c r="M3" s="9">
        <f>'Atracciones Turísticas Completo'!M3</f>
        <v>0</v>
      </c>
      <c r="N3" s="9">
        <f>'Atracciones Turísticas Completo'!N3</f>
        <v>0</v>
      </c>
      <c r="O3" s="9">
        <f>'Atracciones Turísticas Completo'!O3</f>
        <v>0</v>
      </c>
      <c r="P3" s="9">
        <f>'Atracciones Turísticas Completo'!P3</f>
        <v>400</v>
      </c>
      <c r="Q3" s="9">
        <f>'Atracciones Turísticas Completo'!Q3</f>
        <v>0</v>
      </c>
      <c r="R3" s="9">
        <f>'Atracciones Turísticas Completo'!R3</f>
        <v>8.881784197001252E-16</v>
      </c>
      <c r="S3" s="9">
        <f>'Atracciones Turísticas Completo'!S3</f>
        <v>8.881784197001252E-16</v>
      </c>
      <c r="T3" s="9">
        <f>'Atracciones Turísticas Completo'!T3</f>
        <v>337.39</v>
      </c>
      <c r="U3" s="9">
        <f>'Atracciones Turísticas Completo'!U3</f>
        <v>24.111903328681457</v>
      </c>
      <c r="V3" s="9">
        <f>'Atracciones Turísticas Completo'!V3</f>
        <v>0</v>
      </c>
      <c r="W3" s="9">
        <f>'Atracciones Turísticas Completo'!W3</f>
        <v>0</v>
      </c>
      <c r="X3" s="9">
        <f>'Atracciones Turísticas Completo'!X3</f>
        <v>0</v>
      </c>
      <c r="Y3" s="9">
        <f>'Atracciones Turísticas Completo'!Y3</f>
        <v>0</v>
      </c>
      <c r="Z3" s="9">
        <f>'Atracciones Turísticas Completo'!Z3</f>
        <v>2.666684779655491</v>
      </c>
      <c r="AA3" s="9">
        <f>'Atracciones Turísticas Completo'!AA3</f>
        <v>13495.6</v>
      </c>
      <c r="AB3" s="9">
        <f>'Atracciones Turísticas Completo'!AB3</f>
        <v>13495.6</v>
      </c>
      <c r="AC3" s="9">
        <f>'Atracciones Turísticas Completo'!AC3</f>
        <v>13495.6</v>
      </c>
      <c r="AD3" s="9">
        <f>'Atracciones Turísticas Completo'!AD3</f>
        <v>13495.6</v>
      </c>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row>
    <row r="4">
      <c r="A4" s="10">
        <f>'Atracciones Turísticas Completo'!A4</f>
        <v>3</v>
      </c>
      <c r="B4" s="10" t="str">
        <f>'Atracciones Turísticas Completo'!B4</f>
        <v>Atracción Turística</v>
      </c>
      <c r="C4" s="10" t="str">
        <f>'Atracciones Turísticas Completo'!C4</f>
        <v>Catedral de Sevilla</v>
      </c>
      <c r="D4" s="10" t="str">
        <f>'Atracciones Turísticas Completo'!D4</f>
        <v>TripAdvisor</v>
      </c>
      <c r="E4" s="9">
        <f>'Atracciones Turísticas Completo'!E4</f>
        <v>57330</v>
      </c>
      <c r="F4" s="9">
        <f>'Atracciones Turísticas Completo'!F4</f>
        <v>27294</v>
      </c>
      <c r="G4" s="9">
        <f>'Atracciones Turísticas Completo'!G4</f>
        <v>4.8</v>
      </c>
      <c r="H4" s="9">
        <f>'Atracciones Turísticas Completo'!H4</f>
        <v>4.6</v>
      </c>
      <c r="I4" s="9">
        <f>'Atracciones Turísticas Completo'!I4</f>
        <v>4.735493477027794</v>
      </c>
      <c r="J4" s="9">
        <f>'Atracciones Turísticas Completo'!J4</f>
        <v>1</v>
      </c>
      <c r="K4" s="9">
        <f>'Atracciones Turísticas Completo'!K4</f>
        <v>3</v>
      </c>
      <c r="L4" s="9">
        <f>'Atracciones Turísticas Completo'!L4</f>
        <v>0</v>
      </c>
      <c r="M4" s="9">
        <f>'Atracciones Turísticas Completo'!M4</f>
        <v>0</v>
      </c>
      <c r="N4" s="9">
        <f>'Atracciones Turísticas Completo'!N4</f>
        <v>0</v>
      </c>
      <c r="O4" s="9">
        <f>'Atracciones Turísticas Completo'!O4</f>
        <v>0</v>
      </c>
      <c r="P4" s="9">
        <f>'Atracciones Turísticas Completo'!P4</f>
        <v>59</v>
      </c>
      <c r="Q4" s="9">
        <f>'Atracciones Turísticas Completo'!Q4</f>
        <v>0.20000000000000018</v>
      </c>
      <c r="R4" s="9">
        <f>'Atracciones Turísticas Completo'!R4</f>
        <v>0.06450652297220572</v>
      </c>
      <c r="S4" s="9">
        <f>'Atracciones Turísticas Completo'!S4</f>
        <v>0.13549347702779446</v>
      </c>
      <c r="T4" s="9">
        <f>'Atracciones Turísticas Completo'!T4</f>
        <v>1434.3050847457628</v>
      </c>
      <c r="U4" s="9">
        <f>'Atracciones Turísticas Completo'!U4</f>
        <v>23.334113562582065</v>
      </c>
      <c r="V4" s="9">
        <f>'Atracciones Turísticas Completo'!V4</f>
        <v>0</v>
      </c>
      <c r="W4" s="9">
        <f>'Atracciones Turísticas Completo'!W4</f>
        <v>0</v>
      </c>
      <c r="X4" s="9">
        <f>'Atracciones Turísticas Completo'!X4</f>
        <v>0</v>
      </c>
      <c r="Y4" s="9">
        <f>'Atracciones Turísticas Completo'!Y4</f>
        <v>0</v>
      </c>
      <c r="Z4" s="9">
        <f>'Atracciones Turísticas Completo'!Z4</f>
        <v>2.1004616399208618</v>
      </c>
      <c r="AA4" s="9">
        <f>'Atracciones Turísticas Completo'!AA4</f>
        <v>8462.4</v>
      </c>
      <c r="AB4" s="9">
        <f>'Atracciones Turísticas Completo'!AB4</f>
        <v>8462.4</v>
      </c>
      <c r="AC4" s="9">
        <f>'Atracciones Turísticas Completo'!AC4</f>
        <v>8462.4</v>
      </c>
      <c r="AD4" s="9">
        <f>'Atracciones Turísticas Completo'!AD4</f>
        <v>8462.4</v>
      </c>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row>
    <row r="5">
      <c r="A5" s="10">
        <f>'Atracciones Turísticas Completo'!A5</f>
        <v>4</v>
      </c>
      <c r="B5" s="10" t="str">
        <f>'Atracciones Turísticas Completo'!B5</f>
        <v>Atracción Turística</v>
      </c>
      <c r="C5" s="10" t="str">
        <f>'Atracciones Turísticas Completo'!C5</f>
        <v>Setas de Sevilla</v>
      </c>
      <c r="D5" s="10" t="str">
        <f>'Atracciones Turísticas Completo'!D5</f>
        <v>TripAdvisor</v>
      </c>
      <c r="E5" s="9">
        <f>'Atracciones Turísticas Completo'!E5</f>
        <v>105610</v>
      </c>
      <c r="F5" s="9">
        <f>'Atracciones Turísticas Completo'!F5</f>
        <v>11354</v>
      </c>
      <c r="G5" s="9">
        <f>'Atracciones Turísticas Completo'!G5</f>
        <v>4.4</v>
      </c>
      <c r="H5" s="9">
        <f>'Atracciones Turísticas Completo'!H5</f>
        <v>4</v>
      </c>
      <c r="I5" s="9">
        <f>'Atracciones Turísticas Completo'!I5</f>
        <v>4.361170958585548</v>
      </c>
      <c r="J5" s="9">
        <f>'Atracciones Turísticas Completo'!J5</f>
        <v>1</v>
      </c>
      <c r="K5" s="9">
        <f>'Atracciones Turísticas Completo'!K5</f>
        <v>5</v>
      </c>
      <c r="L5" s="9">
        <f>'Atracciones Turísticas Completo'!L5</f>
        <v>150</v>
      </c>
      <c r="M5" s="9">
        <f>'Atracciones Turísticas Completo'!M5</f>
        <v>0</v>
      </c>
      <c r="N5" s="9">
        <f>'Atracciones Turísticas Completo'!N5</f>
        <v>0</v>
      </c>
      <c r="O5" s="9">
        <f>'Atracciones Turísticas Completo'!O5</f>
        <v>75</v>
      </c>
      <c r="P5" s="9">
        <f>'Atracciones Turísticas Completo'!P5</f>
        <v>793</v>
      </c>
      <c r="Q5" s="9">
        <f>'Atracciones Turísticas Completo'!Q5</f>
        <v>0.40000000000000036</v>
      </c>
      <c r="R5" s="9">
        <f>'Atracciones Turísticas Completo'!R5</f>
        <v>0.03882904141445209</v>
      </c>
      <c r="S5" s="9">
        <f>'Atracciones Turísticas Completo'!S5</f>
        <v>0.36117095858554826</v>
      </c>
      <c r="T5" s="9">
        <f>'Atracciones Turísticas Completo'!T5</f>
        <v>147.4955863808323</v>
      </c>
      <c r="U5" s="9">
        <f>'Atracciones Turísticas Completo'!U5</f>
        <v>22.102642124059276</v>
      </c>
      <c r="V5" s="9">
        <f>'Atracciones Turísticas Completo'!V5</f>
        <v>18.915510718789406</v>
      </c>
      <c r="W5" s="9">
        <f>'Atracciones Turísticas Completo'!W5</f>
        <v>0</v>
      </c>
      <c r="X5" s="9">
        <f>'Atracciones Turísticas Completo'!X5</f>
        <v>0</v>
      </c>
      <c r="Y5" s="9">
        <f>'Atracciones Turísticas Completo'!Y5</f>
        <v>9.457755359394703</v>
      </c>
      <c r="Z5" s="9">
        <f>'Atracciones Turísticas Completo'!Z5</f>
        <v>9.301567729434561</v>
      </c>
      <c r="AA5" s="9">
        <f>'Atracciones Turísticas Completo'!AA5</f>
        <v>7.792405063291139</v>
      </c>
      <c r="AB5" s="9">
        <f>'Atracciones Turísticas Completo'!AB5</f>
        <v>11696.4</v>
      </c>
      <c r="AC5" s="9">
        <f>'Atracciones Turísticas Completo'!AC5</f>
        <v>11696.4</v>
      </c>
      <c r="AD5" s="9">
        <f>'Atracciones Turísticas Completo'!AD5</f>
        <v>15.574434087882823</v>
      </c>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row>
    <row r="6">
      <c r="A6" s="10">
        <f>'Atracciones Turísticas Completo'!A6</f>
        <v>5</v>
      </c>
      <c r="B6" s="10" t="str">
        <f>'Atracciones Turísticas Completo'!B6</f>
        <v>Atracción Turística</v>
      </c>
      <c r="C6" s="10" t="str">
        <f>'Atracciones Turísticas Completo'!C6</f>
        <v>Parque de María Luisa</v>
      </c>
      <c r="D6" s="10" t="str">
        <f>'Atracciones Turísticas Completo'!D6</f>
        <v>TripAdvisor</v>
      </c>
      <c r="E6" s="9">
        <f>'Atracciones Turísticas Completo'!E6</f>
        <v>41265</v>
      </c>
      <c r="F6" s="9">
        <f>'Atracciones Turísticas Completo'!F6</f>
        <v>7162</v>
      </c>
      <c r="G6" s="9">
        <f>'Atracciones Turísticas Completo'!G6</f>
        <v>4.8</v>
      </c>
      <c r="H6" s="9">
        <f>'Atracciones Turísticas Completo'!H6</f>
        <v>4.5</v>
      </c>
      <c r="I6" s="9">
        <f>'Atracciones Turísticas Completo'!I6</f>
        <v>4.755632188655089</v>
      </c>
      <c r="J6" s="9">
        <f>'Atracciones Turísticas Completo'!J6</f>
        <v>1</v>
      </c>
      <c r="K6" s="9">
        <f>'Atracciones Turísticas Completo'!K6</f>
        <v>6</v>
      </c>
      <c r="L6" s="9">
        <f>'Atracciones Turísticas Completo'!L6</f>
        <v>1500</v>
      </c>
      <c r="M6" s="9">
        <f>'Atracciones Turísticas Completo'!M6</f>
        <v>0</v>
      </c>
      <c r="N6" s="9">
        <f>'Atracciones Turísticas Completo'!N6</f>
        <v>0</v>
      </c>
      <c r="O6" s="9">
        <f>'Atracciones Turísticas Completo'!O6</f>
        <v>750</v>
      </c>
      <c r="P6" s="9">
        <f>'Atracciones Turísticas Completo'!P6</f>
        <v>1450</v>
      </c>
      <c r="Q6" s="9">
        <f>'Atracciones Turísticas Completo'!Q6</f>
        <v>0.2999999999999998</v>
      </c>
      <c r="R6" s="9">
        <f>'Atracciones Turísticas Completo'!R6</f>
        <v>0.044367811344910635</v>
      </c>
      <c r="S6" s="9">
        <f>'Atracciones Turísticas Completo'!S6</f>
        <v>0.2556321886550892</v>
      </c>
      <c r="T6" s="9">
        <f>'Atracciones Turísticas Completo'!T6</f>
        <v>33.39793103448276</v>
      </c>
      <c r="U6" s="9">
        <f>'Atracciones Turísticas Completo'!U6</f>
        <v>22.280553234628318</v>
      </c>
      <c r="V6" s="9">
        <f>'Atracciones Turísticas Completo'!V6</f>
        <v>103.44827586206897</v>
      </c>
      <c r="W6" s="9">
        <f>'Atracciones Turísticas Completo'!W6</f>
        <v>0</v>
      </c>
      <c r="X6" s="9">
        <f>'Atracciones Turísticas Completo'!X6</f>
        <v>0</v>
      </c>
      <c r="Y6" s="9">
        <f>'Atracciones Turísticas Completo'!Y6</f>
        <v>51.724137931034484</v>
      </c>
      <c r="Z6" s="9">
        <f>'Atracciones Turísticas Completo'!Z6</f>
        <v>5.761658754537838</v>
      </c>
      <c r="AA6" s="9">
        <f>'Atracciones Turísticas Completo'!AA6</f>
        <v>0.322825144990334</v>
      </c>
      <c r="AB6" s="9">
        <f>'Atracciones Turísticas Completo'!AB6</f>
        <v>4842.7</v>
      </c>
      <c r="AC6" s="9">
        <f>'Atracciones Turísticas Completo'!AC6</f>
        <v>4842.7</v>
      </c>
      <c r="AD6" s="9">
        <f>'Atracciones Turísticas Completo'!AD6</f>
        <v>0.6456072523663511</v>
      </c>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row>
    <row r="7">
      <c r="A7" s="10">
        <f>'Atracciones Turísticas Completo'!A7</f>
        <v>6</v>
      </c>
      <c r="B7" s="10" t="str">
        <f>'Atracciones Turísticas Completo'!B7</f>
        <v>Atracción Turística</v>
      </c>
      <c r="C7" s="10" t="str">
        <f>'Atracciones Turísticas Completo'!C7</f>
        <v>La Giralda (Punto 0)</v>
      </c>
      <c r="D7" s="10" t="str">
        <f>'Atracciones Turísticas Completo'!D7</f>
        <v>TripAdvisor</v>
      </c>
      <c r="E7" s="9">
        <f>'Atracciones Turísticas Completo'!E7</f>
        <v>55912</v>
      </c>
      <c r="F7" s="9">
        <f>'Atracciones Turísticas Completo'!F7</f>
        <v>11034</v>
      </c>
      <c r="G7" s="9">
        <f>'Atracciones Turísticas Completo'!G7</f>
        <v>4.7</v>
      </c>
      <c r="H7" s="9">
        <f>'Atracciones Turísticas Completo'!H7</f>
        <v>4.6</v>
      </c>
      <c r="I7" s="9">
        <f>'Atracciones Turísticas Completo'!I7</f>
        <v>4.683518059331402</v>
      </c>
      <c r="J7" s="9">
        <f>'Atracciones Turísticas Completo'!J7</f>
        <v>1</v>
      </c>
      <c r="K7" s="9">
        <f>'Atracciones Turísticas Completo'!K7</f>
        <v>7</v>
      </c>
      <c r="L7" s="9">
        <f>'Atracciones Turísticas Completo'!L7</f>
        <v>0</v>
      </c>
      <c r="M7" s="9">
        <f>'Atracciones Turísticas Completo'!M7</f>
        <v>1683</v>
      </c>
      <c r="N7" s="9">
        <f>'Atracciones Turísticas Completo'!N7</f>
        <v>100</v>
      </c>
      <c r="O7" s="9">
        <f>'Atracciones Turísticas Completo'!O7</f>
        <v>683.2</v>
      </c>
      <c r="P7" s="9">
        <f>'Atracciones Turísticas Completo'!P7</f>
        <v>0.01</v>
      </c>
      <c r="Q7" s="9">
        <f>'Atracciones Turísticas Completo'!Q7</f>
        <v>0.10000000000000053</v>
      </c>
      <c r="R7" s="9">
        <f>'Atracciones Turísticas Completo'!R7</f>
        <v>0.016481940668597872</v>
      </c>
      <c r="S7" s="9">
        <f>'Atracciones Turísticas Completo'!S7</f>
        <v>0.08351805933140266</v>
      </c>
      <c r="T7" s="9">
        <f>'Atracciones Turísticas Completo'!T7</f>
        <v>6694600</v>
      </c>
      <c r="U7" s="9">
        <f>'Atracciones Turísticas Completo'!U7</f>
        <v>22.601368468860684</v>
      </c>
      <c r="V7" s="9">
        <f>'Atracciones Turísticas Completo'!V7</f>
        <v>0</v>
      </c>
      <c r="W7" s="9">
        <f>'Atracciones Turísticas Completo'!W7</f>
        <v>16830000</v>
      </c>
      <c r="X7" s="9">
        <f>'Atracciones Turísticas Completo'!X7</f>
        <v>1000000</v>
      </c>
      <c r="Y7" s="9">
        <f>'Atracciones Turísticas Completo'!Y7</f>
        <v>6832000</v>
      </c>
      <c r="Z7" s="9">
        <f>'Atracciones Turísticas Completo'!Z7</f>
        <v>5.067246692042777</v>
      </c>
      <c r="AA7" s="9">
        <f>'Atracciones Turísticas Completo'!AA7</f>
        <v>6694.6</v>
      </c>
      <c r="AB7" s="9">
        <f>'Atracciones Turísticas Completo'!AB7</f>
        <v>0.39775414413879157</v>
      </c>
      <c r="AC7" s="9">
        <f>'Atracciones Turísticas Completo'!AC7</f>
        <v>6.687912087912089</v>
      </c>
      <c r="AD7" s="9">
        <f>'Atracciones Turísticas Completo'!AD7</f>
        <v>0.9797453534318747</v>
      </c>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row>
    <row r="8">
      <c r="A8" s="10">
        <f>'Atracciones Turísticas Completo'!A8</f>
        <v>7</v>
      </c>
      <c r="B8" s="10" t="str">
        <f>'Atracciones Turísticas Completo'!B8</f>
        <v>Atracción Turística</v>
      </c>
      <c r="C8" s="10" t="str">
        <f>'Atracciones Turísticas Completo'!C8</f>
        <v>Casa de Pilatos</v>
      </c>
      <c r="D8" s="10" t="str">
        <f>'Atracciones Turísticas Completo'!D8</f>
        <v>TripAdvisor</v>
      </c>
      <c r="E8" s="9">
        <f>'Atracciones Turísticas Completo'!E8</f>
        <v>13802</v>
      </c>
      <c r="F8" s="9">
        <f>'Atracciones Turísticas Completo'!F8</f>
        <v>3929</v>
      </c>
      <c r="G8" s="9">
        <f>'Atracciones Turísticas Completo'!G8</f>
        <v>4.4</v>
      </c>
      <c r="H8" s="9">
        <f>'Atracciones Turísticas Completo'!H8</f>
        <v>4.3</v>
      </c>
      <c r="I8" s="9">
        <f>'Atracciones Turísticas Completo'!I8</f>
        <v>4.377841069313631</v>
      </c>
      <c r="J8" s="9">
        <f>'Atracciones Turísticas Completo'!J8</f>
        <v>1</v>
      </c>
      <c r="K8" s="9">
        <f>'Atracciones Turísticas Completo'!K8</f>
        <v>8</v>
      </c>
      <c r="L8" s="9">
        <f>'Atracciones Turísticas Completo'!L8</f>
        <v>0</v>
      </c>
      <c r="M8" s="9">
        <f>'Atracciones Turísticas Completo'!M8</f>
        <v>0</v>
      </c>
      <c r="N8" s="9">
        <f>'Atracciones Turísticas Completo'!N8</f>
        <v>0</v>
      </c>
      <c r="O8" s="9">
        <f>'Atracciones Turísticas Completo'!O8</f>
        <v>0</v>
      </c>
      <c r="P8" s="9">
        <f>'Atracciones Turísticas Completo'!P8</f>
        <v>641</v>
      </c>
      <c r="Q8" s="9">
        <f>'Atracciones Turísticas Completo'!Q8</f>
        <v>0.10000000000000053</v>
      </c>
      <c r="R8" s="9">
        <f>'Atracciones Turísticas Completo'!R8</f>
        <v>0.022158930686368983</v>
      </c>
      <c r="S8" s="9">
        <f>'Atracciones Turísticas Completo'!S8</f>
        <v>0.07784106931363155</v>
      </c>
      <c r="T8" s="9">
        <f>'Atracciones Turísticas Completo'!T8</f>
        <v>27.661466458658346</v>
      </c>
      <c r="U8" s="9">
        <f>'Atracciones Turísticas Completo'!U8</f>
        <v>18.600278825997027</v>
      </c>
      <c r="V8" s="9">
        <f>'Atracciones Turísticas Completo'!V8</f>
        <v>0</v>
      </c>
      <c r="W8" s="9">
        <f>'Atracciones Turísticas Completo'!W8</f>
        <v>0</v>
      </c>
      <c r="X8" s="9">
        <f>'Atracciones Turísticas Completo'!X8</f>
        <v>0</v>
      </c>
      <c r="Y8" s="9">
        <f>'Atracciones Turísticas Completo'!Y8</f>
        <v>0</v>
      </c>
      <c r="Z8" s="9">
        <f>'Atracciones Turísticas Completo'!Z8</f>
        <v>3.512853143293459</v>
      </c>
      <c r="AA8" s="9">
        <f>'Atracciones Turísticas Completo'!AA8</f>
        <v>1773.1</v>
      </c>
      <c r="AB8" s="9">
        <f>'Atracciones Turísticas Completo'!AB8</f>
        <v>1773.1</v>
      </c>
      <c r="AC8" s="9">
        <f>'Atracciones Turísticas Completo'!AC8</f>
        <v>1773.1</v>
      </c>
      <c r="AD8" s="9">
        <f>'Atracciones Turísticas Completo'!AD8</f>
        <v>1773.1</v>
      </c>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row>
    <row r="9">
      <c r="A9" s="10">
        <f>'Atracciones Turísticas Completo'!A9</f>
        <v>8</v>
      </c>
      <c r="B9" s="10" t="str">
        <f>'Atracciones Turísticas Completo'!B9</f>
        <v>Atracción Turística</v>
      </c>
      <c r="C9" s="10" t="str">
        <f>'Atracciones Turísticas Completo'!C9</f>
        <v>Mercado de Triana</v>
      </c>
      <c r="D9" s="10" t="str">
        <f>'Atracciones Turísticas Completo'!D9</f>
        <v>TripAdvisor</v>
      </c>
      <c r="E9" s="9">
        <f>'Atracciones Turísticas Completo'!E9</f>
        <v>10654</v>
      </c>
      <c r="F9" s="9">
        <f>'Atracciones Turísticas Completo'!F9</f>
        <v>1132</v>
      </c>
      <c r="G9" s="9">
        <f>'Atracciones Turísticas Completo'!G9</f>
        <v>4.4</v>
      </c>
      <c r="H9" s="9">
        <f>'Atracciones Turísticas Completo'!H9</f>
        <v>4</v>
      </c>
      <c r="I9" s="9">
        <f>'Atracciones Turísticas Completo'!I9</f>
        <v>4.361581537417275</v>
      </c>
      <c r="J9" s="9">
        <f>'Atracciones Turísticas Completo'!J9</f>
        <v>1</v>
      </c>
      <c r="K9" s="9">
        <f>'Atracciones Turísticas Completo'!K9</f>
        <v>11</v>
      </c>
      <c r="L9" s="9">
        <f>'Atracciones Turísticas Completo'!L9</f>
        <v>0</v>
      </c>
      <c r="M9" s="9">
        <f>'Atracciones Turísticas Completo'!M9</f>
        <v>0</v>
      </c>
      <c r="N9" s="9">
        <f>'Atracciones Turísticas Completo'!N9</f>
        <v>0</v>
      </c>
      <c r="O9" s="9">
        <f>'Atracciones Turísticas Completo'!O9</f>
        <v>0</v>
      </c>
      <c r="P9" s="9">
        <f>'Atracciones Turísticas Completo'!P9</f>
        <v>974</v>
      </c>
      <c r="Q9" s="9">
        <f>'Atracciones Turísticas Completo'!Q9</f>
        <v>0.40000000000000036</v>
      </c>
      <c r="R9" s="9">
        <f>'Atracciones Turísticas Completo'!R9</f>
        <v>0.03841846258272508</v>
      </c>
      <c r="S9" s="9">
        <f>'Atracciones Turísticas Completo'!S9</f>
        <v>0.3615815374172753</v>
      </c>
      <c r="T9" s="9">
        <f>'Atracciones Turísticas Completo'!T9</f>
        <v>12.100616016427105</v>
      </c>
      <c r="U9" s="9">
        <f>'Atracciones Turísticas Completo'!U9</f>
        <v>17.757596682628982</v>
      </c>
      <c r="V9" s="9">
        <f>'Atracciones Turísticas Completo'!V9</f>
        <v>0</v>
      </c>
      <c r="W9" s="9">
        <f>'Atracciones Turísticas Completo'!W9</f>
        <v>0</v>
      </c>
      <c r="X9" s="9">
        <f>'Atracciones Turísticas Completo'!X9</f>
        <v>0</v>
      </c>
      <c r="Y9" s="9">
        <f>'Atracciones Turísticas Completo'!Y9</f>
        <v>0</v>
      </c>
      <c r="Z9" s="9">
        <f>'Atracciones Turísticas Completo'!Z9</f>
        <v>9.411660777385158</v>
      </c>
      <c r="AA9" s="9">
        <f>'Atracciones Turísticas Completo'!AA9</f>
        <v>1178.6</v>
      </c>
      <c r="AB9" s="9">
        <f>'Atracciones Turísticas Completo'!AB9</f>
        <v>1178.6</v>
      </c>
      <c r="AC9" s="9">
        <f>'Atracciones Turísticas Completo'!AC9</f>
        <v>1178.6</v>
      </c>
      <c r="AD9" s="9">
        <f>'Atracciones Turísticas Completo'!AD9</f>
        <v>1178.6</v>
      </c>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row>
    <row r="10">
      <c r="A10" s="10">
        <f>'Atracciones Turísticas Completo'!A10</f>
        <v>9</v>
      </c>
      <c r="B10" s="10" t="str">
        <f>'Atracciones Turísticas Completo'!B10</f>
        <v>Atracción Turística</v>
      </c>
      <c r="C10" s="10" t="str">
        <f>'Atracciones Turísticas Completo'!C10</f>
        <v>Museo de Bellas Artes</v>
      </c>
      <c r="D10" s="10" t="str">
        <f>'Atracciones Turísticas Completo'!D10</f>
        <v>TripAdvisor</v>
      </c>
      <c r="E10" s="9">
        <f>'Atracciones Turísticas Completo'!E10</f>
        <v>16014</v>
      </c>
      <c r="F10" s="9">
        <f>'Atracciones Turísticas Completo'!F10</f>
        <v>2218</v>
      </c>
      <c r="G10" s="9">
        <f>'Atracciones Turísticas Completo'!G10</f>
        <v>4.7</v>
      </c>
      <c r="H10" s="9">
        <f>'Atracciones Turísticas Completo'!H10</f>
        <v>4.4</v>
      </c>
      <c r="I10" s="9">
        <f>'Atracciones Turísticas Completo'!I10</f>
        <v>4.663503729706012</v>
      </c>
      <c r="J10" s="9">
        <f>'Atracciones Turísticas Completo'!J10</f>
        <v>1</v>
      </c>
      <c r="K10" s="9">
        <f>'Atracciones Turísticas Completo'!K10</f>
        <v>12</v>
      </c>
      <c r="L10" s="9">
        <f>'Atracciones Turísticas Completo'!L10</f>
        <v>0</v>
      </c>
      <c r="M10" s="9">
        <f>'Atracciones Turísticas Completo'!M10</f>
        <v>0</v>
      </c>
      <c r="N10" s="9">
        <f>'Atracciones Turísticas Completo'!N10</f>
        <v>0</v>
      </c>
      <c r="O10" s="9">
        <f>'Atracciones Turísticas Completo'!O10</f>
        <v>0</v>
      </c>
      <c r="P10" s="9">
        <f>'Atracciones Turísticas Completo'!P10</f>
        <v>962</v>
      </c>
      <c r="Q10" s="9">
        <f>'Atracciones Turísticas Completo'!Q10</f>
        <v>0.2999999999999998</v>
      </c>
      <c r="R10" s="9">
        <f>'Atracciones Turísticas Completo'!R10</f>
        <v>0.03649627029398861</v>
      </c>
      <c r="S10" s="9">
        <f>'Atracciones Turísticas Completo'!S10</f>
        <v>0.2635037297060112</v>
      </c>
      <c r="T10" s="9">
        <f>'Atracciones Turísticas Completo'!T10</f>
        <v>18.95218295218295</v>
      </c>
      <c r="U10" s="9">
        <f>'Atracciones Turísticas Completo'!U10</f>
        <v>19.87041670647496</v>
      </c>
      <c r="V10" s="9">
        <f>'Atracciones Turísticas Completo'!V10</f>
        <v>0</v>
      </c>
      <c r="W10" s="9">
        <f>'Atracciones Turísticas Completo'!W10</f>
        <v>0</v>
      </c>
      <c r="X10" s="9">
        <f>'Atracciones Turísticas Completo'!X10</f>
        <v>0</v>
      </c>
      <c r="Y10" s="9">
        <f>'Atracciones Turísticas Completo'!Y10</f>
        <v>0</v>
      </c>
      <c r="Z10" s="9">
        <f>'Atracciones Turísticas Completo'!Z10</f>
        <v>7.220018034265104</v>
      </c>
      <c r="AA10" s="9">
        <f>'Atracciones Turísticas Completo'!AA10</f>
        <v>1823.2</v>
      </c>
      <c r="AB10" s="9">
        <f>'Atracciones Turísticas Completo'!AB10</f>
        <v>1823.2</v>
      </c>
      <c r="AC10" s="9">
        <f>'Atracciones Turísticas Completo'!AC10</f>
        <v>1823.2</v>
      </c>
      <c r="AD10" s="9">
        <f>'Atracciones Turísticas Completo'!AD10</f>
        <v>1823.2</v>
      </c>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row>
    <row r="11">
      <c r="A11" s="10">
        <f>'Atracciones Turísticas Completo'!A11</f>
        <v>10</v>
      </c>
      <c r="B11" s="10" t="str">
        <f>'Atracciones Turísticas Completo'!B11</f>
        <v>Atracción Turística</v>
      </c>
      <c r="C11" s="10" t="str">
        <f>'Atracciones Turísticas Completo'!C11</f>
        <v>Real Maestranza de Caballería</v>
      </c>
      <c r="D11" s="10" t="str">
        <f>'Atracciones Turísticas Completo'!D11</f>
        <v>TripAdvisor</v>
      </c>
      <c r="E11" s="9">
        <f>'Atracciones Turísticas Completo'!E11</f>
        <v>31701</v>
      </c>
      <c r="F11" s="9">
        <f>'Atracciones Turísticas Completo'!F11</f>
        <v>5718</v>
      </c>
      <c r="G11" s="9">
        <f>'Atracciones Turísticas Completo'!G11</f>
        <v>4.4</v>
      </c>
      <c r="H11" s="9">
        <f>'Atracciones Turísticas Completo'!H11</f>
        <v>4.1</v>
      </c>
      <c r="I11" s="9">
        <f>'Atracciones Turísticas Completo'!I11</f>
        <v>4.354156979074802</v>
      </c>
      <c r="J11" s="9">
        <f>'Atracciones Turísticas Completo'!J11</f>
        <v>1</v>
      </c>
      <c r="K11" s="9">
        <f>'Atracciones Turísticas Completo'!K11</f>
        <v>13</v>
      </c>
      <c r="L11" s="9">
        <f>'Atracciones Turísticas Completo'!L11</f>
        <v>0</v>
      </c>
      <c r="M11" s="9">
        <f>'Atracciones Turísticas Completo'!M11</f>
        <v>0</v>
      </c>
      <c r="N11" s="9">
        <f>'Atracciones Turísticas Completo'!N11</f>
        <v>0</v>
      </c>
      <c r="O11" s="9">
        <f>'Atracciones Turísticas Completo'!O11</f>
        <v>0</v>
      </c>
      <c r="P11" s="9">
        <f>'Atracciones Turísticas Completo'!P11</f>
        <v>553</v>
      </c>
      <c r="Q11" s="9">
        <f>'Atracciones Turísticas Completo'!Q11</f>
        <v>0.3000000000000007</v>
      </c>
      <c r="R11" s="9">
        <f>'Atracciones Turísticas Completo'!R11</f>
        <v>0.0458430209251981</v>
      </c>
      <c r="S11" s="9">
        <f>'Atracciones Turísticas Completo'!S11</f>
        <v>0.2541569790748026</v>
      </c>
      <c r="T11" s="9">
        <f>'Atracciones Turísticas Completo'!T11</f>
        <v>67.66546112115732</v>
      </c>
      <c r="U11" s="9">
        <f>'Atracciones Turísticas Completo'!U11</f>
        <v>19.911961218712886</v>
      </c>
      <c r="V11" s="9">
        <f>'Atracciones Turísticas Completo'!V11</f>
        <v>0</v>
      </c>
      <c r="W11" s="9">
        <f>'Atracciones Turísticas Completo'!W11</f>
        <v>0</v>
      </c>
      <c r="X11" s="9">
        <f>'Atracciones Turísticas Completo'!X11</f>
        <v>0</v>
      </c>
      <c r="Y11" s="9">
        <f>'Atracciones Turísticas Completo'!Y11</f>
        <v>0</v>
      </c>
      <c r="Z11" s="9">
        <f>'Atracciones Turísticas Completo'!Z11</f>
        <v>5.544071353620147</v>
      </c>
      <c r="AA11" s="9">
        <f>'Atracciones Turísticas Completo'!AA11</f>
        <v>3741.9</v>
      </c>
      <c r="AB11" s="9">
        <f>'Atracciones Turísticas Completo'!AB11</f>
        <v>3741.9</v>
      </c>
      <c r="AC11" s="9">
        <f>'Atracciones Turísticas Completo'!AC11</f>
        <v>3741.9</v>
      </c>
      <c r="AD11" s="9">
        <f>'Atracciones Turísticas Completo'!AD11</f>
        <v>3741.9</v>
      </c>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row>
    <row r="12">
      <c r="A12" s="10">
        <f>'Atracciones Turísticas Completo'!A12</f>
        <v>11</v>
      </c>
      <c r="B12" s="10" t="str">
        <f>'Atracciones Turísticas Completo'!B12</f>
        <v>Atracción Turística</v>
      </c>
      <c r="C12" s="10" t="str">
        <f>'Atracciones Turísticas Completo'!C12</f>
        <v>Basílica de la Macarena</v>
      </c>
      <c r="D12" s="10" t="str">
        <f>'Atracciones Turísticas Completo'!D12</f>
        <v>TripAdvisor</v>
      </c>
      <c r="E12" s="9">
        <f>'Atracciones Turísticas Completo'!E12</f>
        <v>3506</v>
      </c>
      <c r="F12" s="9">
        <f>'Atracciones Turísticas Completo'!F12</f>
        <v>2484</v>
      </c>
      <c r="G12" s="9">
        <f>'Atracciones Turísticas Completo'!G12</f>
        <v>4.8</v>
      </c>
      <c r="H12" s="9">
        <f>'Atracciones Turísticas Completo'!H12</f>
        <v>4.4</v>
      </c>
      <c r="I12" s="9">
        <f>'Atracciones Turísticas Completo'!I12</f>
        <v>4.6341235392320534</v>
      </c>
      <c r="J12" s="9">
        <f>'Atracciones Turísticas Completo'!J12</f>
        <v>1</v>
      </c>
      <c r="K12" s="9">
        <f>'Atracciones Turísticas Completo'!K12</f>
        <v>14</v>
      </c>
      <c r="L12" s="9">
        <f>'Atracciones Turísticas Completo'!L12</f>
        <v>0</v>
      </c>
      <c r="M12" s="9">
        <f>'Atracciones Turísticas Completo'!M12</f>
        <v>0</v>
      </c>
      <c r="N12" s="9">
        <f>'Atracciones Turísticas Completo'!N12</f>
        <v>0</v>
      </c>
      <c r="O12" s="9">
        <f>'Atracciones Turísticas Completo'!O12</f>
        <v>0</v>
      </c>
      <c r="P12" s="9">
        <f>'Atracciones Turísticas Completo'!P12</f>
        <v>1850</v>
      </c>
      <c r="Q12" s="9">
        <f>'Atracciones Turísticas Completo'!Q12</f>
        <v>0.39999999999999947</v>
      </c>
      <c r="R12" s="9">
        <f>'Atracciones Turísticas Completo'!R12</f>
        <v>0.16587646076794638</v>
      </c>
      <c r="S12" s="9">
        <f>'Atracciones Turísticas Completo'!S12</f>
        <v>0.2341235392320531</v>
      </c>
      <c r="T12" s="9">
        <f>'Atracciones Turísticas Completo'!T12</f>
        <v>3.2378378378378376</v>
      </c>
      <c r="U12" s="9">
        <f>'Atracciones Turísticas Completo'!U12</f>
        <v>17.505062555360844</v>
      </c>
      <c r="V12" s="9">
        <f>'Atracciones Turísticas Completo'!V12</f>
        <v>0</v>
      </c>
      <c r="W12" s="9">
        <f>'Atracciones Turísticas Completo'!W12</f>
        <v>0</v>
      </c>
      <c r="X12" s="9">
        <f>'Atracciones Turísticas Completo'!X12</f>
        <v>0</v>
      </c>
      <c r="Y12" s="9">
        <f>'Atracciones Turísticas Completo'!Y12</f>
        <v>0</v>
      </c>
      <c r="Z12" s="9">
        <f>'Atracciones Turísticas Completo'!Z12</f>
        <v>1.4114331723027376</v>
      </c>
      <c r="AA12" s="9">
        <f>'Atracciones Turísticas Completo'!AA12</f>
        <v>599</v>
      </c>
      <c r="AB12" s="9">
        <f>'Atracciones Turísticas Completo'!AB12</f>
        <v>599</v>
      </c>
      <c r="AC12" s="9">
        <f>'Atracciones Turísticas Completo'!AC12</f>
        <v>599</v>
      </c>
      <c r="AD12" s="9">
        <f>'Atracciones Turísticas Completo'!AD12</f>
        <v>599</v>
      </c>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row>
    <row r="13">
      <c r="A13" s="10">
        <f>'Atracciones Turísticas Completo'!A13</f>
        <v>12</v>
      </c>
      <c r="B13" s="10" t="str">
        <f>'Atracciones Turísticas Completo'!B13</f>
        <v>Atracción Turística</v>
      </c>
      <c r="C13" s="10" t="str">
        <f>'Atracciones Turísticas Completo'!C13</f>
        <v>Isla Mágica</v>
      </c>
      <c r="D13" s="10" t="str">
        <f>'Atracciones Turísticas Completo'!D13</f>
        <v>TripAdvisor</v>
      </c>
      <c r="E13" s="9">
        <f>'Atracciones Turísticas Completo'!E13</f>
        <v>32790</v>
      </c>
      <c r="F13" s="9">
        <f>'Atracciones Turísticas Completo'!F13</f>
        <v>2730</v>
      </c>
      <c r="G13" s="9">
        <f>'Atracciones Turísticas Completo'!G13</f>
        <v>4.1</v>
      </c>
      <c r="H13" s="9">
        <f>'Atracciones Turísticas Completo'!H13</f>
        <v>3.6</v>
      </c>
      <c r="I13" s="9">
        <f>'Atracciones Turísticas Completo'!I13</f>
        <v>4.061570945945946</v>
      </c>
      <c r="J13" s="9">
        <f>'Atracciones Turísticas Completo'!J13</f>
        <v>1</v>
      </c>
      <c r="K13" s="9">
        <f>'Atracciones Turísticas Completo'!K13</f>
        <v>15</v>
      </c>
      <c r="L13" s="9">
        <f>'Atracciones Turísticas Completo'!L13</f>
        <v>8</v>
      </c>
      <c r="M13" s="9">
        <f>'Atracciones Turísticas Completo'!M13</f>
        <v>0</v>
      </c>
      <c r="N13" s="9">
        <f>'Atracciones Turísticas Completo'!N13</f>
        <v>0</v>
      </c>
      <c r="O13" s="9">
        <f>'Atracciones Turísticas Completo'!O13</f>
        <v>4</v>
      </c>
      <c r="P13" s="9">
        <f>'Atracciones Turísticas Completo'!P13</f>
        <v>2260</v>
      </c>
      <c r="Q13" s="9">
        <f>'Atracciones Turísticas Completo'!Q13</f>
        <v>0.49999999999999956</v>
      </c>
      <c r="R13" s="9">
        <f>'Atracciones Turísticas Completo'!R13</f>
        <v>0.0384290540540535</v>
      </c>
      <c r="S13" s="9">
        <f>'Atracciones Turísticas Completo'!S13</f>
        <v>0.46157094594594605</v>
      </c>
      <c r="T13" s="9">
        <f>'Atracciones Turísticas Completo'!T13</f>
        <v>15.716814159292035</v>
      </c>
      <c r="U13" s="9">
        <f>'Atracciones Turísticas Completo'!U13</f>
        <v>18.482068752896755</v>
      </c>
      <c r="V13" s="9">
        <f>'Atracciones Turísticas Completo'!V13</f>
        <v>0.35398230088495575</v>
      </c>
      <c r="W13" s="9">
        <f>'Atracciones Turísticas Completo'!W13</f>
        <v>0</v>
      </c>
      <c r="X13" s="9">
        <f>'Atracciones Turísticas Completo'!X13</f>
        <v>0</v>
      </c>
      <c r="Y13" s="9">
        <f>'Atracciones Turísticas Completo'!Y13</f>
        <v>0.17699115044247787</v>
      </c>
      <c r="Z13" s="9">
        <f>'Atracciones Turísticas Completo'!Z13</f>
        <v>12.010989010989011</v>
      </c>
      <c r="AA13" s="9">
        <f>'Atracciones Turísticas Completo'!AA13</f>
        <v>43.851851851851855</v>
      </c>
      <c r="AB13" s="9">
        <f>'Atracciones Turísticas Completo'!AB13</f>
        <v>3552</v>
      </c>
      <c r="AC13" s="9">
        <f>'Atracciones Turísticas Completo'!AC13</f>
        <v>3552</v>
      </c>
      <c r="AD13" s="9">
        <f>'Atracciones Turísticas Completo'!AD13</f>
        <v>86.63414634146342</v>
      </c>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row>
    <row r="14">
      <c r="A14" s="10">
        <f>'Atracciones Turísticas Completo'!A14</f>
        <v>13</v>
      </c>
      <c r="B14" s="10" t="str">
        <f>'Atracciones Turísticas Completo'!B14</f>
        <v>Atracción Turística</v>
      </c>
      <c r="C14" s="10" t="str">
        <f>'Atracciones Turísticas Completo'!C14</f>
        <v>Museo de las Ilusiones de Sevilla</v>
      </c>
      <c r="D14" s="10" t="str">
        <f>'Atracciones Turísticas Completo'!D14</f>
        <v>TripAdvisor</v>
      </c>
      <c r="E14" s="9">
        <f>'Atracciones Turísticas Completo'!E14</f>
        <v>4771</v>
      </c>
      <c r="F14" s="9">
        <f>'Atracciones Turísticas Completo'!F14</f>
        <v>527</v>
      </c>
      <c r="G14" s="9">
        <f>'Atracciones Turísticas Completo'!G14</f>
        <v>4.5</v>
      </c>
      <c r="H14" s="9">
        <f>'Atracciones Turísticas Completo'!H14</f>
        <v>4.7</v>
      </c>
      <c r="I14" s="9">
        <f>'Atracciones Turísticas Completo'!I14</f>
        <v>4.51989429973575</v>
      </c>
      <c r="J14" s="9">
        <f>'Atracciones Turísticas Completo'!J14</f>
        <v>1</v>
      </c>
      <c r="K14" s="9">
        <f>'Atracciones Turísticas Completo'!K14</f>
        <v>16</v>
      </c>
      <c r="L14" s="9">
        <f>'Atracciones Turísticas Completo'!L14</f>
        <v>0</v>
      </c>
      <c r="M14" s="9">
        <f>'Atracciones Turísticas Completo'!M14</f>
        <v>0</v>
      </c>
      <c r="N14" s="9">
        <f>'Atracciones Turísticas Completo'!N14</f>
        <v>0</v>
      </c>
      <c r="O14" s="9">
        <f>'Atracciones Turísticas Completo'!O14</f>
        <v>0</v>
      </c>
      <c r="P14" s="9">
        <f>'Atracciones Turísticas Completo'!P14</f>
        <v>743</v>
      </c>
      <c r="Q14" s="9">
        <f>'Atracciones Turísticas Completo'!Q14</f>
        <v>0.20000000000000018</v>
      </c>
      <c r="R14" s="9">
        <f>'Atracciones Turísticas Completo'!R14</f>
        <v>0.019894299735749854</v>
      </c>
      <c r="S14" s="9">
        <f>'Atracciones Turísticas Completo'!S14</f>
        <v>0.18010570026425032</v>
      </c>
      <c r="T14" s="9">
        <f>'Atracciones Turísticas Completo'!T14</f>
        <v>7.1305518169582776</v>
      </c>
      <c r="U14" s="9">
        <f>'Atracciones Turísticas Completo'!U14</f>
        <v>16.83259239228705</v>
      </c>
      <c r="V14" s="9">
        <f>'Atracciones Turísticas Completo'!V14</f>
        <v>0</v>
      </c>
      <c r="W14" s="9">
        <f>'Atracciones Turísticas Completo'!W14</f>
        <v>0</v>
      </c>
      <c r="X14" s="9">
        <f>'Atracciones Turísticas Completo'!X14</f>
        <v>0</v>
      </c>
      <c r="Y14" s="9">
        <f>'Atracciones Turísticas Completo'!Y14</f>
        <v>0</v>
      </c>
      <c r="Z14" s="9">
        <f>'Atracciones Turísticas Completo'!Z14</f>
        <v>9.053130929791271</v>
      </c>
      <c r="AA14" s="9">
        <f>'Atracciones Turísticas Completo'!AA14</f>
        <v>529.8</v>
      </c>
      <c r="AB14" s="9">
        <f>'Atracciones Turísticas Completo'!AB14</f>
        <v>529.8</v>
      </c>
      <c r="AC14" s="9">
        <f>'Atracciones Turísticas Completo'!AC14</f>
        <v>529.8</v>
      </c>
      <c r="AD14" s="9">
        <f>'Atracciones Turísticas Completo'!AD14</f>
        <v>529.8</v>
      </c>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row>
    <row r="15">
      <c r="A15" s="10">
        <f>'Atracciones Turísticas Completo'!A15</f>
        <v>14</v>
      </c>
      <c r="B15" s="10" t="str">
        <f>'Atracciones Turísticas Completo'!B15</f>
        <v>Atracción Turística</v>
      </c>
      <c r="C15" s="10" t="str">
        <f>'Atracciones Turísticas Completo'!C15</f>
        <v>Torre Sevilla (C.C.)</v>
      </c>
      <c r="D15" s="10" t="str">
        <f>'Atracciones Turísticas Completo'!D15</f>
        <v>TripAdvisor</v>
      </c>
      <c r="E15" s="9">
        <f>'Atracciones Turísticas Completo'!E15</f>
        <v>14803</v>
      </c>
      <c r="F15" s="9">
        <f>'Atracciones Turísticas Completo'!F15</f>
        <v>473</v>
      </c>
      <c r="G15" s="9">
        <f>'Atracciones Turísticas Completo'!G15</f>
        <v>4.3</v>
      </c>
      <c r="H15" s="9">
        <f>'Atracciones Turísticas Completo'!H15</f>
        <v>4.5</v>
      </c>
      <c r="I15" s="9">
        <f>'Atracciones Turísticas Completo'!I15</f>
        <v>4.306192720607489</v>
      </c>
      <c r="J15" s="9">
        <f>'Atracciones Turísticas Completo'!J15</f>
        <v>1</v>
      </c>
      <c r="K15" s="9">
        <f>'Atracciones Turísticas Completo'!K15</f>
        <v>17</v>
      </c>
      <c r="L15" s="9">
        <f>'Atracciones Turísticas Completo'!L15</f>
        <v>0</v>
      </c>
      <c r="M15" s="9">
        <f>'Atracciones Turísticas Completo'!M15</f>
        <v>0</v>
      </c>
      <c r="N15" s="9">
        <f>'Atracciones Turísticas Completo'!N15</f>
        <v>0</v>
      </c>
      <c r="O15" s="9">
        <f>'Atracciones Turísticas Completo'!O15</f>
        <v>0</v>
      </c>
      <c r="P15" s="9">
        <f>'Atracciones Turísticas Completo'!P15</f>
        <v>1660</v>
      </c>
      <c r="Q15" s="9">
        <f>'Atracciones Turísticas Completo'!Q15</f>
        <v>0.20000000000000018</v>
      </c>
      <c r="R15" s="9">
        <f>'Atracciones Turísticas Completo'!R15</f>
        <v>0.006192720607488766</v>
      </c>
      <c r="S15" s="9">
        <f>'Atracciones Turísticas Completo'!S15</f>
        <v>0.1938072793925114</v>
      </c>
      <c r="T15" s="9">
        <f>'Atracciones Turísticas Completo'!T15</f>
        <v>9.202409638554217</v>
      </c>
      <c r="U15" s="9">
        <f>'Atracciones Turísticas Completo'!U15</f>
        <v>18.01715189649514</v>
      </c>
      <c r="V15" s="9">
        <f>'Atracciones Turísticas Completo'!V15</f>
        <v>0</v>
      </c>
      <c r="W15" s="9">
        <f>'Atracciones Turísticas Completo'!W15</f>
        <v>0</v>
      </c>
      <c r="X15" s="9">
        <f>'Atracciones Turísticas Completo'!X15</f>
        <v>0</v>
      </c>
      <c r="Y15" s="9">
        <f>'Atracciones Turísticas Completo'!Y15</f>
        <v>0</v>
      </c>
      <c r="Z15" s="9">
        <f>'Atracciones Turísticas Completo'!Z15</f>
        <v>31.29598308668076</v>
      </c>
      <c r="AA15" s="9">
        <f>'Atracciones Turísticas Completo'!AA15</f>
        <v>1527.6</v>
      </c>
      <c r="AB15" s="9">
        <f>'Atracciones Turísticas Completo'!AB15</f>
        <v>1527.6</v>
      </c>
      <c r="AC15" s="9">
        <f>'Atracciones Turísticas Completo'!AC15</f>
        <v>1527.6</v>
      </c>
      <c r="AD15" s="9">
        <f>'Atracciones Turísticas Completo'!AD15</f>
        <v>1527.6</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c r="A16" s="10">
        <f>'Atracciones Turísticas Completo'!A16</f>
        <v>15</v>
      </c>
      <c r="B16" s="10" t="str">
        <f>'Atracciones Turísticas Completo'!B16</f>
        <v>Atracción Turística</v>
      </c>
      <c r="C16" s="10" t="str">
        <f>'Atracciones Turísticas Completo'!C16</f>
        <v>Palacio de las Dueñas</v>
      </c>
      <c r="D16" s="10" t="str">
        <f>'Atracciones Turísticas Completo'!D16</f>
        <v>TripAdvisor</v>
      </c>
      <c r="E16" s="9">
        <f>'Atracciones Turísticas Completo'!E16</f>
        <v>10723</v>
      </c>
      <c r="F16" s="9">
        <f>'Atracciones Turísticas Completo'!F16</f>
        <v>1689</v>
      </c>
      <c r="G16" s="9">
        <f>'Atracciones Turísticas Completo'!G16</f>
        <v>4.4</v>
      </c>
      <c r="H16" s="9">
        <f>'Atracciones Turísticas Completo'!H16</f>
        <v>4.4</v>
      </c>
      <c r="I16" s="9">
        <f>'Atracciones Turísticas Completo'!I16</f>
        <v>4.4</v>
      </c>
      <c r="J16" s="9">
        <f>'Atracciones Turísticas Completo'!J16</f>
        <v>1</v>
      </c>
      <c r="K16" s="9">
        <f>'Atracciones Turísticas Completo'!K16</f>
        <v>18</v>
      </c>
      <c r="L16" s="9">
        <f>'Atracciones Turísticas Completo'!L16</f>
        <v>0</v>
      </c>
      <c r="M16" s="9">
        <f>'Atracciones Turísticas Completo'!M16</f>
        <v>0</v>
      </c>
      <c r="N16" s="9">
        <f>'Atracciones Turísticas Completo'!N16</f>
        <v>0</v>
      </c>
      <c r="O16" s="9">
        <f>'Atracciones Turísticas Completo'!O16</f>
        <v>0</v>
      </c>
      <c r="P16" s="9">
        <f>'Atracciones Turísticas Completo'!P16</f>
        <v>1000</v>
      </c>
      <c r="Q16" s="9">
        <f>'Atracciones Turísticas Completo'!Q16</f>
        <v>0</v>
      </c>
      <c r="R16" s="9">
        <f>'Atracciones Turísticas Completo'!R16</f>
        <v>0</v>
      </c>
      <c r="S16" s="9">
        <f>'Atracciones Turísticas Completo'!S16</f>
        <v>0</v>
      </c>
      <c r="T16" s="9">
        <f>'Atracciones Turísticas Completo'!T16</f>
        <v>12.412</v>
      </c>
      <c r="U16" s="9">
        <f>'Atracciones Turísticas Completo'!U16</f>
        <v>18.012903774413363</v>
      </c>
      <c r="V16" s="9">
        <f>'Atracciones Turísticas Completo'!V16</f>
        <v>0</v>
      </c>
      <c r="W16" s="9">
        <f>'Atracciones Turísticas Completo'!W16</f>
        <v>0</v>
      </c>
      <c r="X16" s="9">
        <f>'Atracciones Turísticas Completo'!X16</f>
        <v>0</v>
      </c>
      <c r="Y16" s="9">
        <f>'Atracciones Turísticas Completo'!Y16</f>
        <v>0</v>
      </c>
      <c r="Z16" s="9">
        <f>'Atracciones Turísticas Completo'!Z16</f>
        <v>6.348727057430432</v>
      </c>
      <c r="AA16" s="9">
        <f>'Atracciones Turísticas Completo'!AA16</f>
        <v>1241.2</v>
      </c>
      <c r="AB16" s="9">
        <f>'Atracciones Turísticas Completo'!AB16</f>
        <v>1241.2</v>
      </c>
      <c r="AC16" s="9">
        <f>'Atracciones Turísticas Completo'!AC16</f>
        <v>1241.2</v>
      </c>
      <c r="AD16" s="9">
        <f>'Atracciones Turísticas Completo'!AD16</f>
        <v>1241.2</v>
      </c>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row>
    <row r="17">
      <c r="A17" s="10">
        <f>'Atracciones Turísticas Completo'!A17</f>
        <v>16</v>
      </c>
      <c r="B17" s="10" t="str">
        <f>'Atracciones Turísticas Completo'!B17</f>
        <v>Atracción Turística</v>
      </c>
      <c r="C17" s="10" t="str">
        <f>'Atracciones Turísticas Completo'!C17</f>
        <v>Iglesia Colegial del Divino Salvador</v>
      </c>
      <c r="D17" s="10" t="str">
        <f>'Atracciones Turísticas Completo'!D17</f>
        <v>TripAdvisor</v>
      </c>
      <c r="E17" s="9">
        <f>'Atracciones Turísticas Completo'!E17</f>
        <v>12143</v>
      </c>
      <c r="F17" s="9">
        <f>'Atracciones Turísticas Completo'!F17</f>
        <v>2186</v>
      </c>
      <c r="G17" s="9">
        <f>'Atracciones Turísticas Completo'!G17</f>
        <v>4.6</v>
      </c>
      <c r="H17" s="9">
        <f>'Atracciones Turísticas Completo'!H17</f>
        <v>4.5</v>
      </c>
      <c r="I17" s="9">
        <f>'Atracciones Turísticas Completo'!I17</f>
        <v>4.584744224998254</v>
      </c>
      <c r="J17" s="9">
        <f>'Atracciones Turísticas Completo'!J17</f>
        <v>1</v>
      </c>
      <c r="K17" s="9">
        <f>'Atracciones Turísticas Completo'!K17</f>
        <v>19</v>
      </c>
      <c r="L17" s="9">
        <f>'Atracciones Turísticas Completo'!L17</f>
        <v>0</v>
      </c>
      <c r="M17" s="9">
        <f>'Atracciones Turísticas Completo'!M17</f>
        <v>16</v>
      </c>
      <c r="N17" s="9">
        <f>'Atracciones Turísticas Completo'!N17</f>
        <v>0</v>
      </c>
      <c r="O17" s="9">
        <f>'Atracciones Turísticas Completo'!O17</f>
        <v>6.4</v>
      </c>
      <c r="P17" s="9">
        <f>'Atracciones Turísticas Completo'!P17</f>
        <v>424</v>
      </c>
      <c r="Q17" s="9">
        <f>'Atracciones Turísticas Completo'!Q17</f>
        <v>0.09999999999999964</v>
      </c>
      <c r="R17" s="9">
        <f>'Atracciones Turísticas Completo'!R17</f>
        <v>0.015255775001745242</v>
      </c>
      <c r="S17" s="9">
        <f>'Atracciones Turísticas Completo'!S17</f>
        <v>0.0847442249982544</v>
      </c>
      <c r="T17" s="9">
        <f>'Atracciones Turísticas Completo'!T17</f>
        <v>33.79481132075472</v>
      </c>
      <c r="U17" s="9">
        <f>'Atracciones Turísticas Completo'!U17</f>
        <v>19.05518676594831</v>
      </c>
      <c r="V17" s="9">
        <f>'Atracciones Turísticas Completo'!V17</f>
        <v>0</v>
      </c>
      <c r="W17" s="9">
        <f>'Atracciones Turísticas Completo'!W17</f>
        <v>3.7735849056603774</v>
      </c>
      <c r="X17" s="9">
        <f>'Atracciones Turísticas Completo'!X17</f>
        <v>0</v>
      </c>
      <c r="Y17" s="9">
        <f>'Atracciones Turísticas Completo'!Y17</f>
        <v>1.509433962264151</v>
      </c>
      <c r="Z17" s="9">
        <f>'Atracciones Turísticas Completo'!Z17</f>
        <v>5.554894784995425</v>
      </c>
      <c r="AA17" s="9">
        <f>'Atracciones Turísticas Completo'!AA17</f>
        <v>1432.9</v>
      </c>
      <c r="AB17" s="9">
        <f>'Atracciones Turísticas Completo'!AB17</f>
        <v>8.899999999999999</v>
      </c>
      <c r="AC17" s="9">
        <f>'Atracciones Turísticas Completo'!AC17</f>
        <v>1432.9</v>
      </c>
      <c r="AD17" s="9">
        <f>'Atracciones Turísticas Completo'!AD17</f>
        <v>22.044615384615387</v>
      </c>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c r="A18" s="10">
        <f>'Atracciones Turísticas Completo'!A18</f>
        <v>17</v>
      </c>
      <c r="B18" s="10" t="str">
        <f>'Atracciones Turísticas Completo'!B18</f>
        <v>Atracción Turística</v>
      </c>
      <c r="C18" s="10" t="str">
        <f>'Atracciones Turísticas Completo'!C18</f>
        <v>Palacio de la Condesa de Lebrija</v>
      </c>
      <c r="D18" s="10" t="str">
        <f>'Atracciones Turísticas Completo'!D18</f>
        <v>TripAdvisor</v>
      </c>
      <c r="E18" s="9">
        <f>'Atracciones Turísticas Completo'!E18</f>
        <v>2710</v>
      </c>
      <c r="F18" s="9">
        <f>'Atracciones Turísticas Completo'!F18</f>
        <v>857</v>
      </c>
      <c r="G18" s="9">
        <f>'Atracciones Turísticas Completo'!G18</f>
        <v>4.5</v>
      </c>
      <c r="H18" s="9">
        <f>'Atracciones Turísticas Completo'!H18</f>
        <v>4.3</v>
      </c>
      <c r="I18" s="9">
        <f>'Atracciones Turísticas Completo'!I18</f>
        <v>4.451948416035885</v>
      </c>
      <c r="J18" s="9">
        <f>'Atracciones Turísticas Completo'!J18</f>
        <v>1</v>
      </c>
      <c r="K18" s="9">
        <f>'Atracciones Turísticas Completo'!K18</f>
        <v>20</v>
      </c>
      <c r="L18" s="9">
        <f>'Atracciones Turísticas Completo'!L18</f>
        <v>0</v>
      </c>
      <c r="M18" s="9">
        <f>'Atracciones Turísticas Completo'!M18</f>
        <v>0</v>
      </c>
      <c r="N18" s="9">
        <f>'Atracciones Turísticas Completo'!N18</f>
        <v>0</v>
      </c>
      <c r="O18" s="9">
        <f>'Atracciones Turísticas Completo'!O18</f>
        <v>0</v>
      </c>
      <c r="P18" s="9">
        <f>'Atracciones Turísticas Completo'!P18</f>
        <v>676</v>
      </c>
      <c r="Q18" s="9">
        <f>'Atracciones Turísticas Completo'!Q18</f>
        <v>0.20000000000000018</v>
      </c>
      <c r="R18" s="9">
        <f>'Atracciones Turísticas Completo'!R18</f>
        <v>0.04805158396411535</v>
      </c>
      <c r="S18" s="9">
        <f>'Atracciones Turísticas Completo'!S18</f>
        <v>0.15194841603588483</v>
      </c>
      <c r="T18" s="9">
        <f>'Atracciones Turísticas Completo'!T18</f>
        <v>5.2766272189349115</v>
      </c>
      <c r="U18" s="9">
        <f>'Atracciones Turísticas Completo'!U18</f>
        <v>15.814670200898234</v>
      </c>
      <c r="V18" s="9">
        <f>'Atracciones Turísticas Completo'!V18</f>
        <v>0</v>
      </c>
      <c r="W18" s="9">
        <f>'Atracciones Turísticas Completo'!W18</f>
        <v>0</v>
      </c>
      <c r="X18" s="9">
        <f>'Atracciones Turísticas Completo'!X18</f>
        <v>0</v>
      </c>
      <c r="Y18" s="9">
        <f>'Atracciones Turísticas Completo'!Y18</f>
        <v>0</v>
      </c>
      <c r="Z18" s="9">
        <f>'Atracciones Turísticas Completo'!Z18</f>
        <v>3.162193698949825</v>
      </c>
      <c r="AA18" s="9">
        <f>'Atracciones Turísticas Completo'!AA18</f>
        <v>356.7</v>
      </c>
      <c r="AB18" s="9">
        <f>'Atracciones Turísticas Completo'!AB18</f>
        <v>356.7</v>
      </c>
      <c r="AC18" s="9">
        <f>'Atracciones Turísticas Completo'!AC18</f>
        <v>356.7</v>
      </c>
      <c r="AD18" s="9">
        <f>'Atracciones Turísticas Completo'!AD18</f>
        <v>356.7</v>
      </c>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row>
    <row r="19">
      <c r="A19" s="10">
        <f>'Atracciones Turísticas Completo'!A19</f>
        <v>18</v>
      </c>
      <c r="B19" s="10" t="str">
        <f>'Atracciones Turísticas Completo'!B19</f>
        <v>Atracción Turística</v>
      </c>
      <c r="C19" s="10" t="str">
        <f>'Atracciones Turísticas Completo'!C19</f>
        <v>Torre Sevilla (Edificio)</v>
      </c>
      <c r="D19" s="10" t="str">
        <f>'Atracciones Turísticas Completo'!D19</f>
        <v>TripAdvisor</v>
      </c>
      <c r="E19" s="9">
        <f>'Atracciones Turísticas Completo'!E19</f>
        <v>6037</v>
      </c>
      <c r="F19" s="9">
        <f>'Atracciones Turísticas Completo'!F19</f>
        <v>393</v>
      </c>
      <c r="G19" s="9">
        <f>'Atracciones Turísticas Completo'!G19</f>
        <v>4.5</v>
      </c>
      <c r="H19" s="9">
        <f>'Atracciones Turísticas Completo'!H19</f>
        <v>4.4</v>
      </c>
      <c r="I19" s="9">
        <f>'Atracciones Turísticas Completo'!I19</f>
        <v>4.4938880248833595</v>
      </c>
      <c r="J19" s="9">
        <f>'Atracciones Turísticas Completo'!J19</f>
        <v>1</v>
      </c>
      <c r="K19" s="9">
        <f>'Atracciones Turísticas Completo'!K19</f>
        <v>22</v>
      </c>
      <c r="L19" s="9">
        <f>'Atracciones Turísticas Completo'!L19</f>
        <v>0</v>
      </c>
      <c r="M19" s="9">
        <f>'Atracciones Turísticas Completo'!M19</f>
        <v>0</v>
      </c>
      <c r="N19" s="9">
        <f>'Atracciones Turísticas Completo'!N19</f>
        <v>0</v>
      </c>
      <c r="O19" s="9">
        <f>'Atracciones Turísticas Completo'!O19</f>
        <v>0</v>
      </c>
      <c r="P19" s="9">
        <f>'Atracciones Turísticas Completo'!P19</f>
        <v>1680</v>
      </c>
      <c r="Q19" s="9">
        <f>'Atracciones Turísticas Completo'!Q19</f>
        <v>0.09999999999999964</v>
      </c>
      <c r="R19" s="9">
        <f>'Atracciones Turísticas Completo'!R19</f>
        <v>0.006111975116640522</v>
      </c>
      <c r="S19" s="9">
        <f>'Atracciones Turísticas Completo'!S19</f>
        <v>0.09388802488335912</v>
      </c>
      <c r="T19" s="9">
        <f>'Atracciones Turísticas Completo'!T19</f>
        <v>3.8273809523809526</v>
      </c>
      <c r="U19" s="9">
        <f>'Atracciones Turísticas Completo'!U19</f>
        <v>17.11367368745357</v>
      </c>
      <c r="V19" s="9">
        <f>'Atracciones Turísticas Completo'!V19</f>
        <v>0</v>
      </c>
      <c r="W19" s="9">
        <f>'Atracciones Turísticas Completo'!W19</f>
        <v>0</v>
      </c>
      <c r="X19" s="9">
        <f>'Atracciones Turísticas Completo'!X19</f>
        <v>0</v>
      </c>
      <c r="Y19" s="9">
        <f>'Atracciones Turísticas Completo'!Y19</f>
        <v>0</v>
      </c>
      <c r="Z19" s="9">
        <f>'Atracciones Turísticas Completo'!Z19</f>
        <v>15.361323155216285</v>
      </c>
      <c r="AA19" s="9">
        <f>'Atracciones Turísticas Completo'!AA19</f>
        <v>643</v>
      </c>
      <c r="AB19" s="9">
        <f>'Atracciones Turísticas Completo'!AB19</f>
        <v>643</v>
      </c>
      <c r="AC19" s="9">
        <f>'Atracciones Turísticas Completo'!AC19</f>
        <v>643</v>
      </c>
      <c r="AD19" s="9">
        <f>'Atracciones Turísticas Completo'!AD19</f>
        <v>643</v>
      </c>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row>
    <row r="20">
      <c r="A20" s="10">
        <f>'Atracciones Turísticas Completo'!A20</f>
        <v>19</v>
      </c>
      <c r="B20" s="10" t="str">
        <f>'Atracciones Turísticas Completo'!B20</f>
        <v>Atracción Turística</v>
      </c>
      <c r="C20" s="10" t="str">
        <f>'Atracciones Turísticas Completo'!C20</f>
        <v>Hospital de los Venerables </v>
      </c>
      <c r="D20" s="10" t="str">
        <f>'Atracciones Turísticas Completo'!D20</f>
        <v>TripAdvisor</v>
      </c>
      <c r="E20" s="9">
        <f>'Atracciones Turísticas Completo'!E20</f>
        <v>2188</v>
      </c>
      <c r="F20" s="9">
        <f>'Atracciones Turísticas Completo'!F20</f>
        <v>919</v>
      </c>
      <c r="G20" s="9">
        <f>'Atracciones Turísticas Completo'!G20</f>
        <v>4.4</v>
      </c>
      <c r="H20" s="9">
        <f>'Atracciones Turísticas Completo'!H20</f>
        <v>4.3</v>
      </c>
      <c r="I20" s="9">
        <f>'Atracciones Turísticas Completo'!I20</f>
        <v>4.370421628580625</v>
      </c>
      <c r="J20" s="9">
        <f>'Atracciones Turísticas Completo'!J20</f>
        <v>1</v>
      </c>
      <c r="K20" s="9">
        <f>'Atracciones Turísticas Completo'!K20</f>
        <v>23</v>
      </c>
      <c r="L20" s="9">
        <f>'Atracciones Turísticas Completo'!L20</f>
        <v>0</v>
      </c>
      <c r="M20" s="9">
        <f>'Atracciones Turísticas Completo'!M20</f>
        <v>0</v>
      </c>
      <c r="N20" s="9">
        <f>'Atracciones Turísticas Completo'!N20</f>
        <v>0</v>
      </c>
      <c r="O20" s="9">
        <f>'Atracciones Turísticas Completo'!O20</f>
        <v>0</v>
      </c>
      <c r="P20" s="9">
        <f>'Atracciones Turísticas Completo'!P20</f>
        <v>264</v>
      </c>
      <c r="Q20" s="9">
        <f>'Atracciones Turísticas Completo'!Q20</f>
        <v>0.10000000000000053</v>
      </c>
      <c r="R20" s="9">
        <f>'Atracciones Turísticas Completo'!R20</f>
        <v>0.029578371419375138</v>
      </c>
      <c r="S20" s="9">
        <f>'Atracciones Turísticas Completo'!S20</f>
        <v>0.0704216285806254</v>
      </c>
      <c r="T20" s="9">
        <f>'Atracciones Turísticas Completo'!T20</f>
        <v>11.768939393939394</v>
      </c>
      <c r="U20" s="9">
        <f>'Atracciones Turísticas Completo'!U20</f>
        <v>15.263003747609908</v>
      </c>
      <c r="V20" s="9">
        <f>'Atracciones Turísticas Completo'!V20</f>
        <v>0</v>
      </c>
      <c r="W20" s="9">
        <f>'Atracciones Turísticas Completo'!W20</f>
        <v>0</v>
      </c>
      <c r="X20" s="9">
        <f>'Atracciones Turísticas Completo'!X20</f>
        <v>0</v>
      </c>
      <c r="Y20" s="9">
        <f>'Atracciones Turísticas Completo'!Y20</f>
        <v>0</v>
      </c>
      <c r="Z20" s="9">
        <f>'Atracciones Turísticas Completo'!Z20</f>
        <v>2.380848748639826</v>
      </c>
      <c r="AA20" s="9">
        <f>'Atracciones Turísticas Completo'!AA20</f>
        <v>310.7</v>
      </c>
      <c r="AB20" s="9">
        <f>'Atracciones Turísticas Completo'!AB20</f>
        <v>310.7</v>
      </c>
      <c r="AC20" s="9">
        <f>'Atracciones Turísticas Completo'!AC20</f>
        <v>310.7</v>
      </c>
      <c r="AD20" s="9">
        <f>'Atracciones Turísticas Completo'!AD20</f>
        <v>310.7</v>
      </c>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row>
    <row r="21">
      <c r="A21" s="10">
        <f>'Atracciones Turísticas Completo'!A21</f>
        <v>20</v>
      </c>
      <c r="B21" s="10" t="str">
        <f>'Atracciones Turísticas Completo'!B21</f>
        <v>Atracción Turística</v>
      </c>
      <c r="C21" s="10" t="str">
        <f>'Atracciones Turísticas Completo'!C21</f>
        <v>Acuario de Sevilla</v>
      </c>
      <c r="D21" s="10" t="str">
        <f>'Atracciones Turísticas Completo'!D21</f>
        <v>TripAdvisor</v>
      </c>
      <c r="E21" s="9">
        <f>'Atracciones Turísticas Completo'!E21</f>
        <v>14846</v>
      </c>
      <c r="F21" s="9">
        <f>'Atracciones Turísticas Completo'!F21</f>
        <v>702</v>
      </c>
      <c r="G21" s="9">
        <f>'Atracciones Turísticas Completo'!G21</f>
        <v>4.5</v>
      </c>
      <c r="H21" s="9">
        <f>'Atracciones Turísticas Completo'!H21</f>
        <v>3.9</v>
      </c>
      <c r="I21" s="9">
        <f>'Atracciones Turísticas Completo'!I21</f>
        <v>4.472909698996656</v>
      </c>
      <c r="J21" s="9">
        <f>'Atracciones Turísticas Completo'!J21</f>
        <v>1</v>
      </c>
      <c r="K21" s="9">
        <f>'Atracciones Turísticas Completo'!K21</f>
        <v>24</v>
      </c>
      <c r="L21" s="9">
        <f>'Atracciones Turísticas Completo'!L21</f>
        <v>0</v>
      </c>
      <c r="M21" s="9">
        <f>'Atracciones Turísticas Completo'!M21</f>
        <v>0</v>
      </c>
      <c r="N21" s="9">
        <f>'Atracciones Turísticas Completo'!N21</f>
        <v>0</v>
      </c>
      <c r="O21" s="9">
        <f>'Atracciones Turísticas Completo'!O21</f>
        <v>0</v>
      </c>
      <c r="P21" s="9">
        <f>'Atracciones Turísticas Completo'!P21</f>
        <v>1730</v>
      </c>
      <c r="Q21" s="9">
        <f>'Atracciones Turísticas Completo'!Q21</f>
        <v>0.6000000000000001</v>
      </c>
      <c r="R21" s="9">
        <f>'Atracciones Turísticas Completo'!R21</f>
        <v>0.027090301003344308</v>
      </c>
      <c r="S21" s="9">
        <f>'Atracciones Turísticas Completo'!S21</f>
        <v>0.5729096989966558</v>
      </c>
      <c r="T21" s="9">
        <f>'Atracciones Turísticas Completo'!T21</f>
        <v>8.98728323699422</v>
      </c>
      <c r="U21" s="9">
        <f>'Atracciones Turísticas Completo'!U21</f>
        <v>18.7489816690377</v>
      </c>
      <c r="V21" s="9">
        <f>'Atracciones Turísticas Completo'!V21</f>
        <v>0</v>
      </c>
      <c r="W21" s="9">
        <f>'Atracciones Turísticas Completo'!W21</f>
        <v>0</v>
      </c>
      <c r="X21" s="9">
        <f>'Atracciones Turísticas Completo'!X21</f>
        <v>0</v>
      </c>
      <c r="Y21" s="9">
        <f>'Atracciones Turísticas Completo'!Y21</f>
        <v>0</v>
      </c>
      <c r="Z21" s="9">
        <f>'Atracciones Turísticas Completo'!Z21</f>
        <v>21.14814814814815</v>
      </c>
      <c r="AA21" s="9">
        <f>'Atracciones Turísticas Completo'!AA21</f>
        <v>1554.8</v>
      </c>
      <c r="AB21" s="9">
        <f>'Atracciones Turísticas Completo'!AB21</f>
        <v>1554.8</v>
      </c>
      <c r="AC21" s="9">
        <f>'Atracciones Turísticas Completo'!AC21</f>
        <v>1554.8</v>
      </c>
      <c r="AD21" s="9">
        <f>'Atracciones Turísticas Completo'!AD21</f>
        <v>1554.8</v>
      </c>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row>
    <row r="22">
      <c r="A22" s="10">
        <f>'Atracciones Turísticas Completo'!A22</f>
        <v>21</v>
      </c>
      <c r="B22" s="10" t="str">
        <f>'Atracciones Turísticas Completo'!B22</f>
        <v>Atracción Turística</v>
      </c>
      <c r="C22" s="10" t="str">
        <f>'Atracciones Turísticas Completo'!C22</f>
        <v>Jardines de los Reales Alcázares</v>
      </c>
      <c r="D22" s="10" t="str">
        <f>'Atracciones Turísticas Completo'!D22</f>
        <v>TripAdvisor</v>
      </c>
      <c r="E22" s="9">
        <f>'Atracciones Turísticas Completo'!E22</f>
        <v>297</v>
      </c>
      <c r="F22" s="9">
        <f>'Atracciones Turísticas Completo'!F22</f>
        <v>1851</v>
      </c>
      <c r="G22" s="9">
        <f>'Atracciones Turísticas Completo'!G22</f>
        <v>4.8</v>
      </c>
      <c r="H22" s="9">
        <f>'Atracciones Turísticas Completo'!H22</f>
        <v>4.7</v>
      </c>
      <c r="I22" s="9">
        <f>'Atracciones Turísticas Completo'!I22</f>
        <v>4.7138268156424585</v>
      </c>
      <c r="J22" s="9">
        <f>'Atracciones Turísticas Completo'!J22</f>
        <v>1</v>
      </c>
      <c r="K22" s="9">
        <f>'Atracciones Turísticas Completo'!K22</f>
        <v>25</v>
      </c>
      <c r="L22" s="9">
        <f>'Atracciones Turísticas Completo'!L22</f>
        <v>0</v>
      </c>
      <c r="M22" s="9">
        <f>'Atracciones Turísticas Completo'!M22</f>
        <v>0</v>
      </c>
      <c r="N22" s="9">
        <f>'Atracciones Turísticas Completo'!N22</f>
        <v>0</v>
      </c>
      <c r="O22" s="9">
        <f>'Atracciones Turísticas Completo'!O22</f>
        <v>0</v>
      </c>
      <c r="P22" s="9">
        <f>'Atracciones Turísticas Completo'!P22</f>
        <v>396</v>
      </c>
      <c r="Q22" s="9">
        <f>'Atracciones Turísticas Completo'!Q22</f>
        <v>0.09999999999999964</v>
      </c>
      <c r="R22" s="9">
        <f>'Atracciones Turísticas Completo'!R22</f>
        <v>0.08617318435754129</v>
      </c>
      <c r="S22" s="9">
        <f>'Atracciones Turísticas Completo'!S22</f>
        <v>0.013826815642458357</v>
      </c>
      <c r="T22" s="9">
        <f>'Atracciones Turísticas Completo'!T22</f>
        <v>5.424242424242424</v>
      </c>
      <c r="U22" s="9">
        <f>'Atracciones Turísticas Completo'!U22</f>
        <v>15.706632525692147</v>
      </c>
      <c r="V22" s="9">
        <f>'Atracciones Turísticas Completo'!V22</f>
        <v>0</v>
      </c>
      <c r="W22" s="9">
        <f>'Atracciones Turísticas Completo'!W22</f>
        <v>0</v>
      </c>
      <c r="X22" s="9">
        <f>'Atracciones Turísticas Completo'!X22</f>
        <v>0</v>
      </c>
      <c r="Y22" s="9">
        <f>'Atracciones Turísticas Completo'!Y22</f>
        <v>0</v>
      </c>
      <c r="Z22" s="9">
        <f>'Atracciones Turísticas Completo'!Z22</f>
        <v>0.16045380875202594</v>
      </c>
      <c r="AA22" s="9">
        <f>'Atracciones Turísticas Completo'!AA22</f>
        <v>214.8</v>
      </c>
      <c r="AB22" s="9">
        <f>'Atracciones Turísticas Completo'!AB22</f>
        <v>214.8</v>
      </c>
      <c r="AC22" s="9">
        <f>'Atracciones Turísticas Completo'!AC22</f>
        <v>214.8</v>
      </c>
      <c r="AD22" s="9">
        <f>'Atracciones Turísticas Completo'!AD22</f>
        <v>214.8</v>
      </c>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row>
    <row r="23">
      <c r="A23" s="10">
        <f>'Atracciones Turísticas Completo'!A23</f>
        <v>22</v>
      </c>
      <c r="B23" s="10" t="str">
        <f>'Atracciones Turísticas Completo'!B23</f>
        <v>Atracción Turística</v>
      </c>
      <c r="C23" s="10" t="str">
        <f>'Atracciones Turísticas Completo'!C23</f>
        <v>Archivo General de Indias</v>
      </c>
      <c r="D23" s="10" t="str">
        <f>'Atracciones Turísticas Completo'!D23</f>
        <v>TripAdvisor</v>
      </c>
      <c r="E23" s="9">
        <f>'Atracciones Turísticas Completo'!E23</f>
        <v>7415</v>
      </c>
      <c r="F23" s="9">
        <f>'Atracciones Turísticas Completo'!F23</f>
        <v>1258</v>
      </c>
      <c r="G23" s="9">
        <f>'Atracciones Turísticas Completo'!G23</f>
        <v>4.4</v>
      </c>
      <c r="H23" s="9">
        <f>'Atracciones Turísticas Completo'!H23</f>
        <v>4</v>
      </c>
      <c r="I23" s="9">
        <f>'Atracciones Turísticas Completo'!I23</f>
        <v>4.341980860140667</v>
      </c>
      <c r="J23" s="9">
        <f>'Atracciones Turísticas Completo'!J23</f>
        <v>1</v>
      </c>
      <c r="K23" s="9">
        <f>'Atracciones Turísticas Completo'!K23</f>
        <v>26</v>
      </c>
      <c r="L23" s="9">
        <f>'Atracciones Turísticas Completo'!L23</f>
        <v>0</v>
      </c>
      <c r="M23" s="9">
        <f>'Atracciones Turísticas Completo'!M23</f>
        <v>0</v>
      </c>
      <c r="N23" s="9">
        <f>'Atracciones Turísticas Completo'!N23</f>
        <v>0</v>
      </c>
      <c r="O23" s="9">
        <f>'Atracciones Turísticas Completo'!O23</f>
        <v>0</v>
      </c>
      <c r="P23" s="9">
        <f>'Atracciones Turísticas Completo'!P23</f>
        <v>182</v>
      </c>
      <c r="Q23" s="9">
        <f>'Atracciones Turísticas Completo'!Q23</f>
        <v>0.40000000000000036</v>
      </c>
      <c r="R23" s="9">
        <f>'Atracciones Turísticas Completo'!R23</f>
        <v>0.05801913985933371</v>
      </c>
      <c r="S23" s="9">
        <f>'Atracciones Turísticas Completo'!S23</f>
        <v>0.34198086014066664</v>
      </c>
      <c r="T23" s="9">
        <f>'Atracciones Turísticas Completo'!T23</f>
        <v>47.65384615384615</v>
      </c>
      <c r="U23" s="9">
        <f>'Atracciones Turísticas Completo'!U23</f>
        <v>17.09945592601945</v>
      </c>
      <c r="V23" s="9">
        <f>'Atracciones Turísticas Completo'!V23</f>
        <v>0</v>
      </c>
      <c r="W23" s="9">
        <f>'Atracciones Turísticas Completo'!W23</f>
        <v>0</v>
      </c>
      <c r="X23" s="9">
        <f>'Atracciones Turísticas Completo'!X23</f>
        <v>0</v>
      </c>
      <c r="Y23" s="9">
        <f>'Atracciones Turísticas Completo'!Y23</f>
        <v>0</v>
      </c>
      <c r="Z23" s="9">
        <f>'Atracciones Turísticas Completo'!Z23</f>
        <v>5.894276629570747</v>
      </c>
      <c r="AA23" s="9">
        <f>'Atracciones Turísticas Completo'!AA23</f>
        <v>867.3</v>
      </c>
      <c r="AB23" s="9">
        <f>'Atracciones Turísticas Completo'!AB23</f>
        <v>867.3</v>
      </c>
      <c r="AC23" s="9">
        <f>'Atracciones Turísticas Completo'!AC23</f>
        <v>867.3</v>
      </c>
      <c r="AD23" s="9">
        <f>'Atracciones Turísticas Completo'!AD23</f>
        <v>867.3</v>
      </c>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row>
    <row r="24">
      <c r="A24" s="10">
        <f>'Atracciones Turísticas Completo'!A24</f>
        <v>23</v>
      </c>
      <c r="B24" s="10" t="str">
        <f>'Atracciones Turísticas Completo'!B24</f>
        <v>Atracción Turística</v>
      </c>
      <c r="C24" s="10" t="str">
        <f>'Atracciones Turísticas Completo'!C24</f>
        <v>AIRE Ancient Baths Sevilla</v>
      </c>
      <c r="D24" s="10" t="str">
        <f>'Atracciones Turísticas Completo'!D24</f>
        <v>TripAdvisor</v>
      </c>
      <c r="E24" s="9">
        <f>'Atracciones Turísticas Completo'!E24</f>
        <v>6837</v>
      </c>
      <c r="F24" s="9">
        <f>'Atracciones Turísticas Completo'!F24</f>
        <v>1931</v>
      </c>
      <c r="G24" s="9">
        <f>'Atracciones Turísticas Completo'!G24</f>
        <v>4.5</v>
      </c>
      <c r="H24" s="9">
        <f>'Atracciones Turísticas Completo'!H24</f>
        <v>4.2</v>
      </c>
      <c r="I24" s="9">
        <f>'Atracciones Turísticas Completo'!I24</f>
        <v>4.433930200729927</v>
      </c>
      <c r="J24" s="9">
        <f>'Atracciones Turísticas Completo'!J24</f>
        <v>1</v>
      </c>
      <c r="K24" s="9">
        <f>'Atracciones Turísticas Completo'!K24</f>
        <v>27</v>
      </c>
      <c r="L24" s="9">
        <f>'Atracciones Turísticas Completo'!L24</f>
        <v>0</v>
      </c>
      <c r="M24" s="9">
        <f>'Atracciones Turísticas Completo'!M24</f>
        <v>0</v>
      </c>
      <c r="N24" s="9">
        <f>'Atracciones Turísticas Completo'!N24</f>
        <v>50</v>
      </c>
      <c r="O24" s="9">
        <f>'Atracciones Turísticas Completo'!O24</f>
        <v>5</v>
      </c>
      <c r="P24" s="9">
        <f>'Atracciones Turísticas Completo'!P24</f>
        <v>289</v>
      </c>
      <c r="Q24" s="9">
        <f>'Atracciones Turísticas Completo'!Q24</f>
        <v>0.2999999999999998</v>
      </c>
      <c r="R24" s="9">
        <f>'Atracciones Turísticas Completo'!R24</f>
        <v>0.06606979927007295</v>
      </c>
      <c r="S24" s="9">
        <f>'Atracciones Turísticas Completo'!S24</f>
        <v>0.23393020072992687</v>
      </c>
      <c r="T24" s="9">
        <f>'Atracciones Turísticas Completo'!T24</f>
        <v>30.33910034602076</v>
      </c>
      <c r="U24" s="9">
        <f>'Atracciones Turísticas Completo'!U24</f>
        <v>17.482545787836322</v>
      </c>
      <c r="V24" s="9">
        <f>'Atracciones Turísticas Completo'!V24</f>
        <v>0</v>
      </c>
      <c r="W24" s="9">
        <f>'Atracciones Turísticas Completo'!W24</f>
        <v>0</v>
      </c>
      <c r="X24" s="9">
        <f>'Atracciones Turísticas Completo'!X24</f>
        <v>17.301038062283737</v>
      </c>
      <c r="Y24" s="9">
        <f>'Atracciones Turísticas Completo'!Y24</f>
        <v>1.7301038062283738</v>
      </c>
      <c r="Z24" s="9">
        <f>'Atracciones Turísticas Completo'!Z24</f>
        <v>3.540652511651994</v>
      </c>
      <c r="AA24" s="9">
        <f>'Atracciones Turísticas Completo'!AA24</f>
        <v>876.8</v>
      </c>
      <c r="AB24" s="9">
        <f>'Atracciones Turísticas Completo'!AB24</f>
        <v>876.8</v>
      </c>
      <c r="AC24" s="9">
        <f>'Atracciones Turísticas Completo'!AC24</f>
        <v>1.7500998003992014</v>
      </c>
      <c r="AD24" s="9">
        <f>'Atracciones Turísticas Completo'!AD24</f>
        <v>17.192156862745097</v>
      </c>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row>
    <row r="25">
      <c r="A25" s="10">
        <f>'Atracciones Turísticas Completo'!A25</f>
        <v>24</v>
      </c>
      <c r="B25" s="10" t="str">
        <f>'Atracciones Turísticas Completo'!B25</f>
        <v>Atracción Turística</v>
      </c>
      <c r="C25" s="10" t="str">
        <f>'Atracciones Turísticas Completo'!C25</f>
        <v>Ceramicas Sevilla 1952</v>
      </c>
      <c r="D25" s="10" t="str">
        <f>'Atracciones Turísticas Completo'!D25</f>
        <v>TripAdvisor</v>
      </c>
      <c r="E25" s="9">
        <f>'Atracciones Turísticas Completo'!E25</f>
        <v>1045</v>
      </c>
      <c r="F25" s="9">
        <f>'Atracciones Turísticas Completo'!F25</f>
        <v>122</v>
      </c>
      <c r="G25" s="9">
        <f>'Atracciones Turísticas Completo'!G25</f>
        <v>5</v>
      </c>
      <c r="H25" s="9">
        <f>'Atracciones Turísticas Completo'!H25</f>
        <v>4.9</v>
      </c>
      <c r="I25" s="9">
        <f>'Atracciones Turísticas Completo'!I25</f>
        <v>4.989545844044559</v>
      </c>
      <c r="J25" s="9">
        <f>'Atracciones Turísticas Completo'!J25</f>
        <v>1</v>
      </c>
      <c r="K25" s="9">
        <f>'Atracciones Turísticas Completo'!K25</f>
        <v>30</v>
      </c>
      <c r="L25" s="9">
        <f>'Atracciones Turísticas Completo'!L25</f>
        <v>0</v>
      </c>
      <c r="M25" s="9">
        <f>'Atracciones Turísticas Completo'!M25</f>
        <v>0</v>
      </c>
      <c r="N25" s="9">
        <f>'Atracciones Turísticas Completo'!N25</f>
        <v>0</v>
      </c>
      <c r="O25" s="9">
        <f>'Atracciones Turísticas Completo'!O25</f>
        <v>0</v>
      </c>
      <c r="P25" s="9">
        <f>'Atracciones Turísticas Completo'!P25</f>
        <v>398</v>
      </c>
      <c r="Q25" s="9">
        <f>'Atracciones Turísticas Completo'!Q25</f>
        <v>0.09999999999999964</v>
      </c>
      <c r="R25" s="9">
        <f>'Atracciones Turísticas Completo'!R25</f>
        <v>0.010454155955440747</v>
      </c>
      <c r="S25" s="9">
        <f>'Atracciones Turísticas Completo'!S25</f>
        <v>0.0895458440445589</v>
      </c>
      <c r="T25" s="9">
        <f>'Atracciones Turísticas Completo'!T25</f>
        <v>2.9321608040201004</v>
      </c>
      <c r="U25" s="9">
        <f>'Atracciones Turísticas Completo'!U25</f>
        <v>15.303290643171366</v>
      </c>
      <c r="V25" s="9">
        <f>'Atracciones Turísticas Completo'!V25</f>
        <v>0</v>
      </c>
      <c r="W25" s="9">
        <f>'Atracciones Turísticas Completo'!W25</f>
        <v>0</v>
      </c>
      <c r="X25" s="9">
        <f>'Atracciones Turísticas Completo'!X25</f>
        <v>0</v>
      </c>
      <c r="Y25" s="9">
        <f>'Atracciones Turísticas Completo'!Y25</f>
        <v>0</v>
      </c>
      <c r="Z25" s="9">
        <f>'Atracciones Turísticas Completo'!Z25</f>
        <v>8.565573770491802</v>
      </c>
      <c r="AA25" s="9">
        <f>'Atracciones Turísticas Completo'!AA25</f>
        <v>116.7</v>
      </c>
      <c r="AB25" s="9">
        <f>'Atracciones Turísticas Completo'!AB25</f>
        <v>116.7</v>
      </c>
      <c r="AC25" s="9">
        <f>'Atracciones Turísticas Completo'!AC25</f>
        <v>116.7</v>
      </c>
      <c r="AD25" s="9">
        <f>'Atracciones Turísticas Completo'!AD25</f>
        <v>116.7</v>
      </c>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row>
    <row r="26">
      <c r="A26" s="10">
        <f>'Atracciones Turísticas Completo'!A26</f>
        <v>25</v>
      </c>
      <c r="B26" s="10" t="str">
        <f>'Atracciones Turísticas Completo'!B26</f>
        <v>Atracción Turística</v>
      </c>
      <c r="C26" s="10" t="str">
        <f>'Atracciones Turísticas Completo'!C26</f>
        <v>Torre del Oro</v>
      </c>
      <c r="D26" s="10" t="str">
        <f>'Atracciones Turísticas Completo'!D26</f>
        <v>TripAdvisor</v>
      </c>
      <c r="E26" s="9">
        <f>'Atracciones Turísticas Completo'!E26</f>
        <v>53575</v>
      </c>
      <c r="F26" s="9">
        <f>'Atracciones Turísticas Completo'!F26</f>
        <v>2469</v>
      </c>
      <c r="G26" s="9">
        <f>'Atracciones Turísticas Completo'!G26</f>
        <v>4.5</v>
      </c>
      <c r="H26" s="9">
        <f>'Atracciones Turísticas Completo'!H26</f>
        <v>3.9</v>
      </c>
      <c r="I26" s="9">
        <f>'Atracciones Turísticas Completo'!I26</f>
        <v>4.473567197202199</v>
      </c>
      <c r="J26" s="9">
        <f>'Atracciones Turísticas Completo'!J26</f>
        <v>1</v>
      </c>
      <c r="K26" s="9">
        <f>'Atracciones Turísticas Completo'!K26</f>
        <v>33</v>
      </c>
      <c r="L26" s="9">
        <f>'Atracciones Turísticas Completo'!L26</f>
        <v>0</v>
      </c>
      <c r="M26" s="9">
        <f>'Atracciones Turísticas Completo'!M26</f>
        <v>0</v>
      </c>
      <c r="N26" s="9">
        <f>'Atracciones Turísticas Completo'!N26</f>
        <v>0</v>
      </c>
      <c r="O26" s="9">
        <f>'Atracciones Turísticas Completo'!O26</f>
        <v>0</v>
      </c>
      <c r="P26" s="9">
        <f>'Atracciones Turísticas Completo'!P26</f>
        <v>522</v>
      </c>
      <c r="Q26" s="9">
        <f>'Atracciones Turísticas Completo'!Q26</f>
        <v>0.6000000000000001</v>
      </c>
      <c r="R26" s="9">
        <f>'Atracciones Turísticas Completo'!R26</f>
        <v>0.026432802797801358</v>
      </c>
      <c r="S26" s="9">
        <f>'Atracciones Turísticas Completo'!S26</f>
        <v>0.5735671972021987</v>
      </c>
      <c r="T26" s="9">
        <f>'Atracciones Turísticas Completo'!T26</f>
        <v>107.3639846743295</v>
      </c>
      <c r="U26" s="9">
        <f>'Atracciones Turísticas Completo'!U26</f>
        <v>21.24286412587437</v>
      </c>
      <c r="V26" s="9">
        <f>'Atracciones Turísticas Completo'!V26</f>
        <v>0</v>
      </c>
      <c r="W26" s="9">
        <f>'Atracciones Turísticas Completo'!W26</f>
        <v>0</v>
      </c>
      <c r="X26" s="9">
        <f>'Atracciones Turísticas Completo'!X26</f>
        <v>0</v>
      </c>
      <c r="Y26" s="9">
        <f>'Atracciones Turísticas Completo'!Y26</f>
        <v>0</v>
      </c>
      <c r="Z26" s="9">
        <f>'Atracciones Turísticas Completo'!Z26</f>
        <v>21.69906844876468</v>
      </c>
      <c r="AA26" s="9">
        <f>'Atracciones Turísticas Completo'!AA26</f>
        <v>5604.4</v>
      </c>
      <c r="AB26" s="9">
        <f>'Atracciones Turísticas Completo'!AB26</f>
        <v>5604.4</v>
      </c>
      <c r="AC26" s="9">
        <f>'Atracciones Turísticas Completo'!AC26</f>
        <v>5604.4</v>
      </c>
      <c r="AD26" s="9">
        <f>'Atracciones Turísticas Completo'!AD26</f>
        <v>5604.4</v>
      </c>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row>
    <row r="27">
      <c r="A27" s="10">
        <f>'Atracciones Turísticas Completo'!A27</f>
        <v>26</v>
      </c>
      <c r="B27" s="10" t="str">
        <f>'Atracciones Turísticas Completo'!B27</f>
        <v>Atracción Turística</v>
      </c>
      <c r="C27" s="10" t="str">
        <f>'Atracciones Turísticas Completo'!C27</f>
        <v>Parque de los Descubrimientos</v>
      </c>
      <c r="D27" s="10" t="str">
        <f>'Atracciones Turísticas Completo'!D27</f>
        <v>Intruso</v>
      </c>
      <c r="E27" s="9">
        <f>'Atracciones Turísticas Completo'!E27</f>
        <v>1503</v>
      </c>
      <c r="F27" s="9">
        <f>'Atracciones Turísticas Completo'!F27</f>
        <v>1</v>
      </c>
      <c r="G27" s="9">
        <f>'Atracciones Turísticas Completo'!G27</f>
        <v>4.3</v>
      </c>
      <c r="H27" s="9">
        <f>'Atracciones Turísticas Completo'!H27</f>
        <v>0</v>
      </c>
      <c r="I27" s="9">
        <f>'Atracciones Turísticas Completo'!I27</f>
        <v>4.297140957446809</v>
      </c>
      <c r="J27" s="9">
        <f>'Atracciones Turísticas Completo'!J27</f>
        <v>0</v>
      </c>
      <c r="K27" s="9">
        <f>'Atracciones Turísticas Completo'!K27</f>
        <v>0</v>
      </c>
      <c r="L27" s="9">
        <f>'Atracciones Turísticas Completo'!L27</f>
        <v>806</v>
      </c>
      <c r="M27" s="9">
        <f>'Atracciones Turísticas Completo'!M27</f>
        <v>0</v>
      </c>
      <c r="N27" s="9">
        <f>'Atracciones Turísticas Completo'!N27</f>
        <v>0</v>
      </c>
      <c r="O27" s="9">
        <f>'Atracciones Turísticas Completo'!O27</f>
        <v>403</v>
      </c>
      <c r="P27" s="9">
        <f>'Atracciones Turísticas Completo'!P27</f>
        <v>1540</v>
      </c>
      <c r="Q27" s="9">
        <f>'Atracciones Turísticas Completo'!Q27</f>
        <v>4.3</v>
      </c>
      <c r="R27" s="9">
        <f>'Atracciones Turísticas Completo'!R27</f>
        <v>4.297140957446809</v>
      </c>
      <c r="S27" s="9">
        <f>'Atracciones Turísticas Completo'!S27</f>
        <v>4.297140957446809</v>
      </c>
      <c r="T27" s="9">
        <f>'Atracciones Turísticas Completo'!T27</f>
        <v>0.9766233766233766</v>
      </c>
      <c r="U27" s="9">
        <f>'Atracciones Turísticas Completo'!U27</f>
        <v>13.65308180913329</v>
      </c>
      <c r="V27" s="9">
        <f>'Atracciones Turísticas Completo'!V27</f>
        <v>52.33766233766234</v>
      </c>
      <c r="W27" s="9">
        <f>'Atracciones Turísticas Completo'!W27</f>
        <v>0</v>
      </c>
      <c r="X27" s="9">
        <f>'Atracciones Turísticas Completo'!X27</f>
        <v>0</v>
      </c>
      <c r="Y27" s="9">
        <f>'Atracciones Turísticas Completo'!Y27</f>
        <v>26.16883116883117</v>
      </c>
      <c r="Z27" s="9">
        <f>'Atracciones Turísticas Completo'!Z27</f>
        <v>1503</v>
      </c>
      <c r="AA27" s="9">
        <f>'Atracciones Turísticas Completo'!AA27</f>
        <v>0.018657734772360747</v>
      </c>
      <c r="AB27" s="9">
        <f>'Atracciones Turísticas Completo'!AB27</f>
        <v>150.4</v>
      </c>
      <c r="AC27" s="9">
        <f>'Atracciones Turísticas Completo'!AC27</f>
        <v>150.4</v>
      </c>
      <c r="AD27" s="9">
        <f>'Atracciones Turísticas Completo'!AD27</f>
        <v>0.0373108409823865</v>
      </c>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row>
    <row r="28">
      <c r="A28" s="10">
        <f>'Atracciones Turísticas Completo'!A28</f>
        <v>27</v>
      </c>
      <c r="B28" s="10" t="str">
        <f>'Atracciones Turísticas Completo'!B28</f>
        <v>Atracción Turística</v>
      </c>
      <c r="C28" s="10" t="str">
        <f>'Atracciones Turísticas Completo'!C28</f>
        <v>Estanque Central de Plaza de América</v>
      </c>
      <c r="D28" s="10" t="str">
        <f>'Atracciones Turísticas Completo'!D28</f>
        <v>Intruso</v>
      </c>
      <c r="E28" s="9">
        <f>'Atracciones Turísticas Completo'!E28</f>
        <v>52</v>
      </c>
      <c r="F28" s="9">
        <f>'Atracciones Turísticas Completo'!F28</f>
        <v>657</v>
      </c>
      <c r="G28" s="9">
        <f>'Atracciones Turísticas Completo'!G28</f>
        <v>4.8</v>
      </c>
      <c r="H28" s="9">
        <f>'Atracciones Turísticas Completo'!H28</f>
        <v>4.4</v>
      </c>
      <c r="I28" s="9">
        <f>'Atracciones Turísticas Completo'!I28</f>
        <v>4.429337094499295</v>
      </c>
      <c r="J28" s="9">
        <f>'Atracciones Turísticas Completo'!J28</f>
        <v>1</v>
      </c>
      <c r="K28" s="9">
        <f>'Atracciones Turísticas Completo'!K28</f>
        <v>40</v>
      </c>
      <c r="L28" s="9">
        <f>'Atracciones Turísticas Completo'!L28</f>
        <v>537</v>
      </c>
      <c r="M28" s="9">
        <f>'Atracciones Turísticas Completo'!M28</f>
        <v>93</v>
      </c>
      <c r="N28" s="9">
        <f>'Atracciones Turísticas Completo'!N28</f>
        <v>0</v>
      </c>
      <c r="O28" s="9">
        <f>'Atracciones Turísticas Completo'!O28</f>
        <v>305.7</v>
      </c>
      <c r="P28" s="9">
        <f>'Atracciones Turísticas Completo'!P28</f>
        <v>1700</v>
      </c>
      <c r="Q28" s="9">
        <f>'Atracciones Turísticas Completo'!Q28</f>
        <v>0.39999999999999947</v>
      </c>
      <c r="R28" s="9">
        <f>'Atracciones Turísticas Completo'!R28</f>
        <v>0.029337094499294558</v>
      </c>
      <c r="S28" s="9">
        <f>'Atracciones Turísticas Completo'!S28</f>
        <v>0.029337094499294558</v>
      </c>
      <c r="T28" s="9">
        <f>'Atracciones Turísticas Completo'!T28</f>
        <v>0.41705882352941176</v>
      </c>
      <c r="U28" s="9">
        <f>'Atracciones Turísticas Completo'!U28</f>
        <v>12.626473112791118</v>
      </c>
      <c r="V28" s="9">
        <f>'Atracciones Turísticas Completo'!V28</f>
        <v>31.588235294117645</v>
      </c>
      <c r="W28" s="9">
        <f>'Atracciones Turísticas Completo'!W28</f>
        <v>5.470588235294118</v>
      </c>
      <c r="X28" s="9">
        <f>'Atracciones Turísticas Completo'!X28</f>
        <v>0</v>
      </c>
      <c r="Y28" s="9">
        <f>'Atracciones Turísticas Completo'!Y28</f>
        <v>17.98235294117647</v>
      </c>
      <c r="Z28" s="9">
        <f>'Atracciones Turísticas Completo'!Z28</f>
        <v>0.0791476407914764</v>
      </c>
      <c r="AA28" s="9">
        <f>'Atracciones Turísticas Completo'!AA28</f>
        <v>0.013200521318190281</v>
      </c>
      <c r="AB28" s="9">
        <f>'Atracciones Turísticas Completo'!AB28</f>
        <v>0.0761546723952739</v>
      </c>
      <c r="AC28" s="9">
        <f>'Atracciones Turísticas Completo'!AC28</f>
        <v>70.9</v>
      </c>
      <c r="AD28" s="9">
        <f>'Atracciones Turísticas Completo'!AD28</f>
        <v>0.023185088293001963</v>
      </c>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row>
    <row r="29">
      <c r="A29" s="10">
        <f>'Atracciones Turísticas Completo'!A29</f>
        <v>28</v>
      </c>
      <c r="B29" s="10" t="str">
        <f>'Atracciones Turísticas Completo'!B29</f>
        <v>Atracción Turística</v>
      </c>
      <c r="C29" s="10" t="str">
        <f>'Atracciones Turísticas Completo'!C29</f>
        <v>Torre Sur</v>
      </c>
      <c r="D29" s="10" t="str">
        <f>'Atracciones Turísticas Completo'!D29</f>
        <v>Intruso</v>
      </c>
      <c r="E29" s="9">
        <f>'Atracciones Turísticas Completo'!E29</f>
        <v>165</v>
      </c>
      <c r="F29" s="9">
        <f>'Atracciones Turísticas Completo'!F29</f>
        <v>3</v>
      </c>
      <c r="G29" s="9">
        <f>'Atracciones Turísticas Completo'!G29</f>
        <v>4.8</v>
      </c>
      <c r="H29" s="9">
        <f>'Atracciones Turísticas Completo'!H29</f>
        <v>4.3</v>
      </c>
      <c r="I29" s="9">
        <f>'Atracciones Turísticas Completo'!I29</f>
        <v>4.791071428571429</v>
      </c>
      <c r="J29" s="9">
        <f>'Atracciones Turísticas Completo'!J29</f>
        <v>1</v>
      </c>
      <c r="K29" s="9">
        <f>'Atracciones Turísticas Completo'!K29</f>
        <v>254</v>
      </c>
      <c r="L29" s="9">
        <f>'Atracciones Turísticas Completo'!L29</f>
        <v>347</v>
      </c>
      <c r="M29" s="9">
        <f>'Atracciones Turísticas Completo'!M29</f>
        <v>0</v>
      </c>
      <c r="N29" s="9">
        <f>'Atracciones Turísticas Completo'!N29</f>
        <v>0</v>
      </c>
      <c r="O29" s="9">
        <f>'Atracciones Turísticas Completo'!O29</f>
        <v>173.5</v>
      </c>
      <c r="P29" s="9">
        <f>'Atracciones Turísticas Completo'!P29</f>
        <v>1250</v>
      </c>
      <c r="Q29" s="9">
        <f>'Atracciones Turísticas Completo'!Q29</f>
        <v>0.5</v>
      </c>
      <c r="R29" s="9">
        <f>'Atracciones Turísticas Completo'!R29</f>
        <v>0.4910714285714288</v>
      </c>
      <c r="S29" s="9">
        <f>'Atracciones Turísticas Completo'!S29</f>
        <v>0.4910714285714288</v>
      </c>
      <c r="T29" s="9">
        <f>'Atracciones Turísticas Completo'!T29</f>
        <v>0.1344</v>
      </c>
      <c r="U29" s="9">
        <f>'Atracciones Turísticas Completo'!U29</f>
        <v>10.66161571941159</v>
      </c>
      <c r="V29" s="9">
        <f>'Atracciones Turísticas Completo'!V29</f>
        <v>27.76</v>
      </c>
      <c r="W29" s="9">
        <f>'Atracciones Turísticas Completo'!W29</f>
        <v>0</v>
      </c>
      <c r="X29" s="9">
        <f>'Atracciones Turísticas Completo'!X29</f>
        <v>0</v>
      </c>
      <c r="Y29" s="9">
        <f>'Atracciones Turísticas Completo'!Y29</f>
        <v>13.88</v>
      </c>
      <c r="Z29" s="9">
        <f>'Atracciones Turísticas Completo'!Z29</f>
        <v>55</v>
      </c>
      <c r="AA29" s="9">
        <f>'Atracciones Turísticas Completo'!AA29</f>
        <v>0.0048401037165082105</v>
      </c>
      <c r="AB29" s="9">
        <f>'Atracciones Turísticas Completo'!AB29</f>
        <v>16.8</v>
      </c>
      <c r="AC29" s="9">
        <f>'Atracciones Turísticas Completo'!AC29</f>
        <v>16.8</v>
      </c>
      <c r="AD29" s="9">
        <f>'Atracciones Turísticas Completo'!AD29</f>
        <v>0.00967741935483871</v>
      </c>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row>
    <row r="30">
      <c r="A30" s="10">
        <f>'Atracciones Turísticas Completo'!A30</f>
        <v>29</v>
      </c>
      <c r="B30" s="10" t="str">
        <f>'Atracciones Turísticas Completo'!B30</f>
        <v>Atracción Turística</v>
      </c>
      <c r="C30" s="10" t="str">
        <f>'Atracciones Turísticas Completo'!C30</f>
        <v>Mosaico Guadalquivir</v>
      </c>
      <c r="D30" s="10" t="str">
        <f>'Atracciones Turísticas Completo'!D30</f>
        <v>Intruso</v>
      </c>
      <c r="E30" s="9">
        <f>'Atracciones Turísticas Completo'!E30</f>
        <v>21</v>
      </c>
      <c r="F30" s="9">
        <f>'Atracciones Turísticas Completo'!F30</f>
        <v>1</v>
      </c>
      <c r="G30" s="9">
        <f>'Atracciones Turísticas Completo'!G30</f>
        <v>4.5</v>
      </c>
      <c r="H30" s="9">
        <f>'Atracciones Turísticas Completo'!H30</f>
        <v>0</v>
      </c>
      <c r="I30" s="9">
        <f>'Atracciones Turísticas Completo'!I30</f>
        <v>4.295454545454546</v>
      </c>
      <c r="J30" s="9">
        <f>'Atracciones Turísticas Completo'!J30</f>
        <v>0</v>
      </c>
      <c r="K30" s="9">
        <f>'Atracciones Turísticas Completo'!K30</f>
        <v>0</v>
      </c>
      <c r="L30" s="9">
        <f>'Atracciones Turísticas Completo'!L30</f>
        <v>182</v>
      </c>
      <c r="M30" s="9">
        <f>'Atracciones Turísticas Completo'!M30</f>
        <v>0</v>
      </c>
      <c r="N30" s="9">
        <f>'Atracciones Turísticas Completo'!N30</f>
        <v>0</v>
      </c>
      <c r="O30" s="9">
        <f>'Atracciones Turísticas Completo'!O30</f>
        <v>91</v>
      </c>
      <c r="P30" s="9">
        <f>'Atracciones Turísticas Completo'!P30</f>
        <v>864</v>
      </c>
      <c r="Q30" s="9">
        <f>'Atracciones Turísticas Completo'!Q30</f>
        <v>4.5</v>
      </c>
      <c r="R30" s="9">
        <f>'Atracciones Turísticas Completo'!R30</f>
        <v>4.295454545454546</v>
      </c>
      <c r="S30" s="9">
        <f>'Atracciones Turísticas Completo'!S30</f>
        <v>4.295454545454546</v>
      </c>
      <c r="T30" s="9">
        <f>'Atracciones Turísticas Completo'!T30</f>
        <v>0.02546296296296296</v>
      </c>
      <c r="U30" s="9">
        <f>'Atracciones Turísticas Completo'!U30</f>
        <v>5.766315606259022</v>
      </c>
      <c r="V30" s="9">
        <f>'Atracciones Turísticas Completo'!V30</f>
        <v>21.064814814814813</v>
      </c>
      <c r="W30" s="9">
        <f>'Atracciones Turísticas Completo'!W30</f>
        <v>0</v>
      </c>
      <c r="X30" s="9">
        <f>'Atracciones Turísticas Completo'!X30</f>
        <v>0</v>
      </c>
      <c r="Y30" s="9">
        <f>'Atracciones Turísticas Completo'!Y30</f>
        <v>10.532407407407407</v>
      </c>
      <c r="Z30" s="9">
        <f>'Atracciones Turísticas Completo'!Z30</f>
        <v>21</v>
      </c>
      <c r="AA30" s="9">
        <f>'Atracciones Turísticas Completo'!AA30</f>
        <v>0.0012081274025260845</v>
      </c>
      <c r="AB30" s="9">
        <f>'Atracciones Turísticas Completo'!AB30</f>
        <v>2.2</v>
      </c>
      <c r="AC30" s="9">
        <f>'Atracciones Turísticas Completo'!AC30</f>
        <v>2.2</v>
      </c>
      <c r="AD30" s="9">
        <f>'Atracciones Turísticas Completo'!AD30</f>
        <v>0.002414928649835346</v>
      </c>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row>
    <row r="31">
      <c r="A31" s="10">
        <f>'Atracciones Turísticas Completo'!A31</f>
        <v>30</v>
      </c>
      <c r="B31" s="10" t="str">
        <f>'Atracciones Turísticas Completo'!B31</f>
        <v>Atracción Turística</v>
      </c>
      <c r="C31" s="10" t="str">
        <f>'Atracciones Turísticas Completo'!C31</f>
        <v>Fuente de las Cuatro Estaciones</v>
      </c>
      <c r="D31" s="10" t="str">
        <f>'Atracciones Turísticas Completo'!D31</f>
        <v>Intruso</v>
      </c>
      <c r="E31" s="9">
        <f>'Atracciones Turísticas Completo'!E31</f>
        <v>46</v>
      </c>
      <c r="F31" s="9">
        <f>'Atracciones Turísticas Completo'!F31</f>
        <v>17</v>
      </c>
      <c r="G31" s="9">
        <f>'Atracciones Turísticas Completo'!G31</f>
        <v>4.7</v>
      </c>
      <c r="H31" s="9">
        <f>'Atracciones Turísticas Completo'!H31</f>
        <v>3.7</v>
      </c>
      <c r="I31" s="9">
        <f>'Atracciones Turísticas Completo'!I31</f>
        <v>4.43015873015873</v>
      </c>
      <c r="J31" s="9">
        <f>'Atracciones Turísticas Completo'!J31</f>
        <v>1</v>
      </c>
      <c r="K31" s="9">
        <f>'Atracciones Turísticas Completo'!K31</f>
        <v>187</v>
      </c>
      <c r="L31" s="9">
        <f>'Atracciones Turísticas Completo'!L31</f>
        <v>13</v>
      </c>
      <c r="M31" s="9">
        <f>'Atracciones Turísticas Completo'!M31</f>
        <v>390</v>
      </c>
      <c r="N31" s="9">
        <f>'Atracciones Turísticas Completo'!N31</f>
        <v>0</v>
      </c>
      <c r="O31" s="9">
        <f>'Atracciones Turísticas Completo'!O31</f>
        <v>162.5</v>
      </c>
      <c r="P31" s="9">
        <f>'Atracciones Turísticas Completo'!P31</f>
        <v>671</v>
      </c>
      <c r="Q31" s="9">
        <f>'Atracciones Turísticas Completo'!Q31</f>
        <v>1</v>
      </c>
      <c r="R31" s="9">
        <f>'Atracciones Turísticas Completo'!R31</f>
        <v>0.7301587301587302</v>
      </c>
      <c r="S31" s="9">
        <f>'Atracciones Turísticas Completo'!S31</f>
        <v>0.7301587301587302</v>
      </c>
      <c r="T31" s="9">
        <f>'Atracciones Turísticas Completo'!T31</f>
        <v>0.09388971684053651</v>
      </c>
      <c r="U31" s="9">
        <f>'Atracciones Turísticas Completo'!U31</f>
        <v>7.971364243690392</v>
      </c>
      <c r="V31" s="9">
        <f>'Atracciones Turísticas Completo'!V31</f>
        <v>1.9374068554396422</v>
      </c>
      <c r="W31" s="9">
        <f>'Atracciones Turísticas Completo'!W31</f>
        <v>58.12220566318928</v>
      </c>
      <c r="X31" s="9">
        <f>'Atracciones Turísticas Completo'!X31</f>
        <v>0</v>
      </c>
      <c r="Y31" s="9">
        <f>'Atracciones Turísticas Completo'!Y31</f>
        <v>24.21758569299553</v>
      </c>
      <c r="Z31" s="9">
        <f>'Atracciones Turísticas Completo'!Z31</f>
        <v>2.7058823529411766</v>
      </c>
      <c r="AA31" s="9">
        <f>'Atracciones Turísticas Completo'!AA31</f>
        <v>0.048091603053435114</v>
      </c>
      <c r="AB31" s="9">
        <f>'Atracciones Turísticas Completo'!AB31</f>
        <v>0.0016149705203793898</v>
      </c>
      <c r="AC31" s="9">
        <f>'Atracciones Turísticas Completo'!AC31</f>
        <v>6.3</v>
      </c>
      <c r="AD31" s="9">
        <f>'Atracciones Turísticas Completo'!AD31</f>
        <v>0.0038745387453874543</v>
      </c>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row>
    <row r="32">
      <c r="A32" s="10">
        <f>'Atracciones Turísticas Completo'!A32</f>
        <v>31</v>
      </c>
      <c r="B32" s="10" t="str">
        <f>'Atracciones Turísticas Completo'!B32</f>
        <v>Atracción Turística</v>
      </c>
      <c r="C32" s="10" t="str">
        <f>'Atracciones Turísticas Completo'!C32</f>
        <v>Reja del Diablo</v>
      </c>
      <c r="D32" s="10" t="str">
        <f>'Atracciones Turísticas Completo'!D32</f>
        <v>Intruso</v>
      </c>
      <c r="E32" s="9">
        <f>'Atracciones Turísticas Completo'!E32</f>
        <v>64</v>
      </c>
      <c r="F32" s="9">
        <f>'Atracciones Turísticas Completo'!F32</f>
        <v>1</v>
      </c>
      <c r="G32" s="9">
        <f>'Atracciones Turísticas Completo'!G32</f>
        <v>4.5</v>
      </c>
      <c r="H32" s="9">
        <f>'Atracciones Turísticas Completo'!H32</f>
        <v>0</v>
      </c>
      <c r="I32" s="9">
        <f>'Atracciones Turísticas Completo'!I32</f>
        <v>4.430769230769231</v>
      </c>
      <c r="J32" s="9">
        <f>'Atracciones Turísticas Completo'!J32</f>
        <v>0</v>
      </c>
      <c r="K32" s="9">
        <f>'Atracciones Turísticas Completo'!K32</f>
        <v>0</v>
      </c>
      <c r="L32" s="9">
        <f>'Atracciones Turísticas Completo'!L32</f>
        <v>0</v>
      </c>
      <c r="M32" s="9">
        <f>'Atracciones Turísticas Completo'!M32</f>
        <v>272</v>
      </c>
      <c r="N32" s="9">
        <f>'Atracciones Turísticas Completo'!N32</f>
        <v>50</v>
      </c>
      <c r="O32" s="9">
        <f>'Atracciones Turísticas Completo'!O32</f>
        <v>113.80000000000001</v>
      </c>
      <c r="P32" s="9">
        <f>'Atracciones Turísticas Completo'!P32</f>
        <v>363</v>
      </c>
      <c r="Q32" s="9">
        <f>'Atracciones Turísticas Completo'!Q32</f>
        <v>4.5</v>
      </c>
      <c r="R32" s="9">
        <f>'Atracciones Turísticas Completo'!R32</f>
        <v>4.430769230769231</v>
      </c>
      <c r="S32" s="9">
        <f>'Atracciones Turísticas Completo'!S32</f>
        <v>4.430769230769231</v>
      </c>
      <c r="T32" s="9">
        <f>'Atracciones Turísticas Completo'!T32</f>
        <v>0.1790633608815427</v>
      </c>
      <c r="U32" s="9">
        <f>'Atracciones Turísticas Completo'!U32</f>
        <v>8.03260071866373</v>
      </c>
      <c r="V32" s="9">
        <f>'Atracciones Turísticas Completo'!V32</f>
        <v>0</v>
      </c>
      <c r="W32" s="9">
        <f>'Atracciones Turísticas Completo'!W32</f>
        <v>74.93112947658402</v>
      </c>
      <c r="X32" s="9">
        <f>'Atracciones Turísticas Completo'!X32</f>
        <v>13.774104683195592</v>
      </c>
      <c r="Y32" s="9">
        <f>'Atracciones Turísticas Completo'!Y32</f>
        <v>31.34986225895317</v>
      </c>
      <c r="Z32" s="9">
        <f>'Atracciones Turísticas Completo'!Z32</f>
        <v>64</v>
      </c>
      <c r="AA32" s="9">
        <f>'Atracciones Turísticas Completo'!AA32</f>
        <v>6.5</v>
      </c>
      <c r="AB32" s="9">
        <f>'Atracciones Turísticas Completo'!AB32</f>
        <v>0.0023888276368981987</v>
      </c>
      <c r="AC32" s="9">
        <f>'Atracciones Turísticas Completo'!AC32</f>
        <v>0.012974051896207584</v>
      </c>
      <c r="AD32" s="9">
        <f>'Atracciones Turísticas Completo'!AD32</f>
        <v>0.005706760316066725</v>
      </c>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row>
    <row r="33">
      <c r="A33" s="10">
        <f>'Atracciones Turísticas Completo'!A33</f>
        <v>32</v>
      </c>
      <c r="B33" s="10" t="str">
        <f>'Atracciones Turísticas Completo'!B33</f>
        <v>Atracción Turística</v>
      </c>
      <c r="C33" s="10" t="str">
        <f>'Atracciones Turísticas Completo'!C33</f>
        <v>Monte Gurugú</v>
      </c>
      <c r="D33" s="10" t="str">
        <f>'Atracciones Turísticas Completo'!D33</f>
        <v>Intruso</v>
      </c>
      <c r="E33" s="9">
        <f>'Atracciones Turísticas Completo'!E33</f>
        <v>388</v>
      </c>
      <c r="F33" s="9">
        <f>'Atracciones Turísticas Completo'!F33</f>
        <v>1</v>
      </c>
      <c r="G33" s="9">
        <f>'Atracciones Turísticas Completo'!G33</f>
        <v>4.4</v>
      </c>
      <c r="H33" s="9">
        <f>'Atracciones Turísticas Completo'!H33</f>
        <v>5</v>
      </c>
      <c r="I33" s="9">
        <f>'Atracciones Turísticas Completo'!I33</f>
        <v>4.401542416452442</v>
      </c>
      <c r="J33" s="9">
        <f>'Atracciones Turísticas Completo'!J33</f>
        <v>1</v>
      </c>
      <c r="K33" s="9">
        <f>'Atracciones Turísticas Completo'!K33</f>
        <v>355</v>
      </c>
      <c r="L33" s="9">
        <f>'Atracciones Turísticas Completo'!L33</f>
        <v>0</v>
      </c>
      <c r="M33" s="9">
        <f>'Atracciones Turísticas Completo'!M33</f>
        <v>183</v>
      </c>
      <c r="N33" s="9">
        <f>'Atracciones Turísticas Completo'!N33</f>
        <v>133</v>
      </c>
      <c r="O33" s="9">
        <f>'Atracciones Turísticas Completo'!O33</f>
        <v>86.5</v>
      </c>
      <c r="P33" s="9">
        <f>'Atracciones Turísticas Completo'!P33</f>
        <v>1520</v>
      </c>
      <c r="Q33" s="9">
        <f>'Atracciones Turísticas Completo'!Q33</f>
        <v>0.5999999999999996</v>
      </c>
      <c r="R33" s="9">
        <f>'Atracciones Turísticas Completo'!R33</f>
        <v>0.5984575835475576</v>
      </c>
      <c r="S33" s="9">
        <f>'Atracciones Turísticas Completo'!S33</f>
        <v>0.5984575835475576</v>
      </c>
      <c r="T33" s="9">
        <f>'Atracciones Turísticas Completo'!T33</f>
        <v>0.25592105263157894</v>
      </c>
      <c r="U33" s="9">
        <f>'Atracciones Turísticas Completo'!U33</f>
        <v>11.399773026709195</v>
      </c>
      <c r="V33" s="9">
        <f>'Atracciones Turísticas Completo'!V33</f>
        <v>0</v>
      </c>
      <c r="W33" s="9">
        <f>'Atracciones Turísticas Completo'!W33</f>
        <v>12.039473684210526</v>
      </c>
      <c r="X33" s="9">
        <f>'Atracciones Turísticas Completo'!X33</f>
        <v>8.75</v>
      </c>
      <c r="Y33" s="9">
        <f>'Atracciones Turísticas Completo'!Y33</f>
        <v>5.690789473684211</v>
      </c>
      <c r="Z33" s="9">
        <f>'Atracciones Turísticas Completo'!Z33</f>
        <v>388</v>
      </c>
      <c r="AA33" s="9">
        <f>'Atracciones Turísticas Completo'!AA33</f>
        <v>38.9</v>
      </c>
      <c r="AB33" s="9">
        <f>'Atracciones Turísticas Completo'!AB33</f>
        <v>0.021245221190606223</v>
      </c>
      <c r="AC33" s="9">
        <f>'Atracciones Turísticas Completo'!AC33</f>
        <v>0.02922614575507138</v>
      </c>
      <c r="AD33" s="9">
        <f>'Atracciones Turísticas Completo'!AD33</f>
        <v>0.044919168591224024</v>
      </c>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row>
    <row r="34">
      <c r="A34" s="10">
        <f>'Atracciones Turísticas Completo'!A34</f>
        <v>33</v>
      </c>
      <c r="B34" s="10" t="str">
        <f>'Atracciones Turísticas Completo'!B34</f>
        <v>Atracción Turística</v>
      </c>
      <c r="C34" s="10" t="str">
        <f>'Atracciones Turísticas Completo'!C34</f>
        <v>Arco de la Macarena</v>
      </c>
      <c r="D34" s="10" t="str">
        <f>'Atracciones Turísticas Completo'!D34</f>
        <v>Intruso</v>
      </c>
      <c r="E34" s="9">
        <f>'Atracciones Turísticas Completo'!E34</f>
        <v>4300</v>
      </c>
      <c r="F34" s="9">
        <f>'Atracciones Turísticas Completo'!F34</f>
        <v>42</v>
      </c>
      <c r="G34" s="9">
        <f>'Atracciones Turísticas Completo'!G34</f>
        <v>4.5</v>
      </c>
      <c r="H34" s="9">
        <f>'Atracciones Turísticas Completo'!H34</f>
        <v>3.8</v>
      </c>
      <c r="I34" s="9">
        <f>'Atracciones Turísticas Completo'!I34</f>
        <v>4.49322892676186</v>
      </c>
      <c r="J34" s="9">
        <f>'Atracciones Turísticas Completo'!J34</f>
        <v>1</v>
      </c>
      <c r="K34" s="9">
        <f>'Atracciones Turísticas Completo'!K34</f>
        <v>107</v>
      </c>
      <c r="L34" s="9">
        <f>'Atracciones Turísticas Completo'!L34</f>
        <v>33</v>
      </c>
      <c r="M34" s="9">
        <f>'Atracciones Turísticas Completo'!M34</f>
        <v>163</v>
      </c>
      <c r="N34" s="9">
        <f>'Atracciones Turísticas Completo'!N34</f>
        <v>150</v>
      </c>
      <c r="O34" s="9">
        <f>'Atracciones Turísticas Completo'!O34</f>
        <v>96.7</v>
      </c>
      <c r="P34" s="9">
        <f>'Atracciones Turísticas Completo'!P34</f>
        <v>1870</v>
      </c>
      <c r="Q34" s="9">
        <f>'Atracciones Turísticas Completo'!Q34</f>
        <v>0.7000000000000002</v>
      </c>
      <c r="R34" s="9">
        <f>'Atracciones Turísticas Completo'!R34</f>
        <v>0.6932289267618605</v>
      </c>
      <c r="S34" s="9">
        <f>'Atracciones Turísticas Completo'!S34</f>
        <v>0.6932289267618605</v>
      </c>
      <c r="T34" s="9">
        <f>'Atracciones Turísticas Completo'!T34</f>
        <v>2.3219251336898394</v>
      </c>
      <c r="U34" s="9">
        <f>'Atracciones Turísticas Completo'!U34</f>
        <v>16.344973121849918</v>
      </c>
      <c r="V34" s="9">
        <f>'Atracciones Turísticas Completo'!V34</f>
        <v>1.7647058823529411</v>
      </c>
      <c r="W34" s="9">
        <f>'Atracciones Turísticas Completo'!W34</f>
        <v>8.71657754010695</v>
      </c>
      <c r="X34" s="9">
        <f>'Atracciones Turísticas Completo'!X34</f>
        <v>8.02139037433155</v>
      </c>
      <c r="Y34" s="9">
        <f>'Atracciones Turísticas Completo'!Y34</f>
        <v>5.171122994652406</v>
      </c>
      <c r="Z34" s="9">
        <f>'Atracciones Turísticas Completo'!Z34</f>
        <v>102.38095238095238</v>
      </c>
      <c r="AA34" s="9">
        <f>'Atracciones Turísticas Completo'!AA34</f>
        <v>1.3117824773413898</v>
      </c>
      <c r="AB34" s="9">
        <f>'Atracciones Turísticas Completo'!AB34</f>
        <v>0.2662170447578173</v>
      </c>
      <c r="AC34" s="9">
        <f>'Atracciones Turísticas Completo'!AC34</f>
        <v>0.28927381745503</v>
      </c>
      <c r="AD34" s="9">
        <f>'Atracciones Turísticas Completo'!AD34</f>
        <v>0.44855371900826446</v>
      </c>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row>
    <row r="35">
      <c r="A35" s="10">
        <f>'Atracciones Turísticas Completo'!A35</f>
        <v>34</v>
      </c>
      <c r="B35" s="10" t="str">
        <f>'Atracciones Turísticas Completo'!B35</f>
        <v>Atracción Turística</v>
      </c>
      <c r="C35" s="10" t="str">
        <f>'Atracciones Turísticas Completo'!C35</f>
        <v>Mural "De Viaje" de Cn6</v>
      </c>
      <c r="D35" s="10" t="str">
        <f>'Atracciones Turísticas Completo'!D35</f>
        <v>Intruso</v>
      </c>
      <c r="E35" s="9">
        <f>'Atracciones Turísticas Completo'!E35</f>
        <v>1</v>
      </c>
      <c r="F35" s="9">
        <f>'Atracciones Turísticas Completo'!F35</f>
        <v>1</v>
      </c>
      <c r="G35" s="9">
        <f>'Atracciones Turísticas Completo'!G35</f>
        <v>1</v>
      </c>
      <c r="H35" s="9">
        <f>'Atracciones Turísticas Completo'!H35</f>
        <v>0</v>
      </c>
      <c r="I35" s="9">
        <f>'Atracciones Turísticas Completo'!I35</f>
        <v>0.5</v>
      </c>
      <c r="J35" s="9">
        <f>'Atracciones Turísticas Completo'!J35</f>
        <v>0</v>
      </c>
      <c r="K35" s="9">
        <f>'Atracciones Turísticas Completo'!K35</f>
        <v>0</v>
      </c>
      <c r="L35" s="9">
        <f>'Atracciones Turísticas Completo'!L35</f>
        <v>0</v>
      </c>
      <c r="M35" s="9">
        <f>'Atracciones Turísticas Completo'!M35</f>
        <v>140</v>
      </c>
      <c r="N35" s="9">
        <f>'Atracciones Turísticas Completo'!N35</f>
        <v>0</v>
      </c>
      <c r="O35" s="9">
        <f>'Atracciones Turísticas Completo'!O35</f>
        <v>56</v>
      </c>
      <c r="P35" s="9">
        <f>'Atracciones Turísticas Completo'!P35</f>
        <v>1140</v>
      </c>
      <c r="Q35" s="9">
        <f>'Atracciones Turísticas Completo'!Q35</f>
        <v>1</v>
      </c>
      <c r="R35" s="9">
        <f>'Atracciones Turísticas Completo'!R35</f>
        <v>0.5</v>
      </c>
      <c r="S35" s="9">
        <f>'Atracciones Turísticas Completo'!S35</f>
        <v>0.5</v>
      </c>
      <c r="T35" s="9">
        <f>'Atracciones Turísticas Completo'!T35</f>
        <v>0.0017543859649122807</v>
      </c>
      <c r="U35" s="9">
        <f>'Atracciones Turísticas Completo'!U35</f>
        <v>0.1505149978319906</v>
      </c>
      <c r="V35" s="9">
        <f>'Atracciones Turísticas Completo'!V35</f>
        <v>0</v>
      </c>
      <c r="W35" s="9">
        <f>'Atracciones Turísticas Completo'!W35</f>
        <v>12.280701754385964</v>
      </c>
      <c r="X35" s="9">
        <f>'Atracciones Turísticas Completo'!X35</f>
        <v>0</v>
      </c>
      <c r="Y35" s="9">
        <f>'Atracciones Turísticas Completo'!Y35</f>
        <v>4.912280701754386</v>
      </c>
      <c r="Z35" s="9">
        <f>'Atracciones Turísticas Completo'!Z35</f>
        <v>1</v>
      </c>
      <c r="AA35" s="9">
        <f>'Atracciones Turísticas Completo'!AA35</f>
        <v>0.2</v>
      </c>
      <c r="AB35" s="9">
        <f>'Atracciones Turísticas Completo'!AB35</f>
        <v>0.00014275517487508923</v>
      </c>
      <c r="AC35" s="9">
        <f>'Atracciones Turísticas Completo'!AC35</f>
        <v>0.2</v>
      </c>
      <c r="AD35" s="9">
        <f>'Atracciones Turísticas Completo'!AD35</f>
        <v>0.00035650623885918</v>
      </c>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row>
    <row r="36">
      <c r="A36" s="10">
        <f>'Atracciones Turísticas Completo'!A36</f>
        <v>35</v>
      </c>
      <c r="B36" s="10" t="str">
        <f>'Atracciones Turísticas Completo'!B36</f>
        <v>Atracción Turística</v>
      </c>
      <c r="C36" s="10" t="str">
        <f>'Atracciones Turísticas Completo'!C36</f>
        <v>Mural "De Viaje" de Kato</v>
      </c>
      <c r="D36" s="10" t="str">
        <f>'Atracciones Turísticas Completo'!D36</f>
        <v>Intruso</v>
      </c>
      <c r="E36" s="9">
        <f>'Atracciones Turísticas Completo'!E36</f>
        <v>0</v>
      </c>
      <c r="F36" s="9">
        <f>'Atracciones Turísticas Completo'!F36</f>
        <v>1</v>
      </c>
      <c r="G36" s="9">
        <f>'Atracciones Turísticas Completo'!G36</f>
        <v>0</v>
      </c>
      <c r="H36" s="9">
        <f>'Atracciones Turísticas Completo'!H36</f>
        <v>0</v>
      </c>
      <c r="I36" s="9">
        <f>'Atracciones Turísticas Completo'!I36</f>
        <v>0</v>
      </c>
      <c r="J36" s="9">
        <f>'Atracciones Turísticas Completo'!J36</f>
        <v>0</v>
      </c>
      <c r="K36" s="9">
        <f>'Atracciones Turísticas Completo'!K36</f>
        <v>0</v>
      </c>
      <c r="L36" s="9">
        <f>'Atracciones Turísticas Completo'!L36</f>
        <v>0</v>
      </c>
      <c r="M36" s="9">
        <f>'Atracciones Turísticas Completo'!M36</f>
        <v>112</v>
      </c>
      <c r="N36" s="9">
        <f>'Atracciones Turísticas Completo'!N36</f>
        <v>25</v>
      </c>
      <c r="O36" s="9">
        <f>'Atracciones Turísticas Completo'!O36</f>
        <v>47.300000000000004</v>
      </c>
      <c r="P36" s="9">
        <f>'Atracciones Turísticas Completo'!P36</f>
        <v>1560</v>
      </c>
      <c r="Q36" s="9">
        <f>'Atracciones Turísticas Completo'!Q36</f>
        <v>0</v>
      </c>
      <c r="R36" s="9">
        <f>'Atracciones Turísticas Completo'!R36</f>
        <v>0</v>
      </c>
      <c r="S36" s="9">
        <f>'Atracciones Turísticas Completo'!S36</f>
        <v>0</v>
      </c>
      <c r="T36" s="9">
        <f>'Atracciones Turísticas Completo'!T36</f>
        <v>0.000641025641025641</v>
      </c>
      <c r="U36" s="9">
        <f>'Atracciones Turísticas Completo'!U36</f>
        <v>0</v>
      </c>
      <c r="V36" s="9">
        <f>'Atracciones Turísticas Completo'!V36</f>
        <v>0</v>
      </c>
      <c r="W36" s="9">
        <f>'Atracciones Turísticas Completo'!W36</f>
        <v>7.179487179487179</v>
      </c>
      <c r="X36" s="9">
        <f>'Atracciones Turísticas Completo'!X36</f>
        <v>1.6025641025641024</v>
      </c>
      <c r="Y36" s="9">
        <f>'Atracciones Turísticas Completo'!Y36</f>
        <v>3.0320512820512824</v>
      </c>
      <c r="Z36" s="9">
        <f>'Atracciones Turísticas Completo'!Z36</f>
        <v>0</v>
      </c>
      <c r="AA36" s="9">
        <f>'Atracciones Turísticas Completo'!AA36</f>
        <v>0.1</v>
      </c>
      <c r="AB36" s="9">
        <f>'Atracciones Turísticas Completo'!AB36</f>
        <v>8.920606601248885E-5</v>
      </c>
      <c r="AC36" s="9">
        <f>'Atracciones Turísticas Completo'!AC36</f>
        <v>0.00039840637450199205</v>
      </c>
      <c r="AD36" s="9">
        <f>'Atracciones Turísticas Completo'!AD36</f>
        <v>0.0002109704641350211</v>
      </c>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row>
  </sheetData>
  <pageMargins left="0.699999988079071" right="0.699999988079071" top="0.75" bottom="0.75" header="0.30000001192092896" footer="0.30000001192092896"/>
  <pageSetup orientation="portrait"/>
</worksheet>
</file>

<file path=xl/worksheets/sheet5.xml><?xml version="1.0" encoding="utf-8"?>
<worksheet xmlns="http://schemas.openxmlformats.org/spreadsheetml/2006/main" xmlns:r="http://schemas.openxmlformats.org/officeDocument/2006/relationships">
  <dimension ref="A1:AD28"/>
  <sheetViews>
    <sheetView zoomScale="70" zoomScaleNormal="70" topLeftCell="L1" workbookViewId="0">
      <selection activeCell="Q37" sqref="Q37"/>
    </sheetView>
  </sheetViews>
  <sheetFormatPr defaultColWidth="11.421875" defaultRowHeight="15"/>
  <cols>
    <col min="1" max="1" width="5.421875" customWidth="1"/>
    <col min="2" max="2" width="27.57421875" customWidth="1"/>
    <col min="3" max="4" width="32.57421875" customWidth="1"/>
    <col min="5" max="5" width="37.00390625" customWidth="1"/>
    <col min="6" max="6" width="37.28125" customWidth="1"/>
    <col min="7" max="7" width="24.57421875" customWidth="1"/>
    <col min="8" max="8" width="20.140625" customWidth="1"/>
    <col min="9" max="9" width="19.140625" customWidth="1"/>
    <col min="10" max="13" width="17.421875" customWidth="1"/>
    <col min="14" max="14" width="21.00390625" customWidth="1"/>
    <col min="15" max="15" width="24.28125" customWidth="1"/>
    <col min="16" max="18" width="16.8515625" customWidth="1"/>
    <col min="19" max="19" width="27.28125" customWidth="1"/>
    <col min="20" max="23" width="23.57421875" customWidth="1"/>
    <col min="24" max="24" width="22.28125" customWidth="1"/>
    <col min="25" max="28" width="18.57421875" customWidth="1"/>
    <col min="29" max="29" width="15.421875" customWidth="1"/>
  </cols>
  <sheetData>
    <row r="1" ht="75">
      <c r="A1" s="3" t="s">
        <v>0</v>
      </c>
      <c r="B1" s="3" t="s">
        <v>1</v>
      </c>
      <c r="C1" s="3" t="s">
        <v>2</v>
      </c>
      <c r="D1" s="3" t="s">
        <v>3</v>
      </c>
      <c r="E1" s="3" t="s">
        <v>4</v>
      </c>
      <c r="F1" s="3" t="s">
        <v>5</v>
      </c>
      <c r="G1" s="3" t="s">
        <v>6</v>
      </c>
      <c r="H1" s="3" t="s">
        <v>7</v>
      </c>
      <c r="I1" s="3" t="s">
        <v>8</v>
      </c>
      <c r="J1" s="3" t="s">
        <v>9</v>
      </c>
      <c r="K1" s="7" t="s">
        <v>10</v>
      </c>
      <c r="L1" s="7" t="s">
        <v>11</v>
      </c>
      <c r="M1" s="7" t="s">
        <v>12</v>
      </c>
      <c r="N1" s="7" t="s">
        <v>102</v>
      </c>
      <c r="O1" s="4" t="s">
        <v>14</v>
      </c>
      <c r="P1" s="6" t="s">
        <v>15</v>
      </c>
      <c r="Q1" s="6" t="s">
        <v>16</v>
      </c>
      <c r="R1" s="6" t="s">
        <v>17</v>
      </c>
      <c r="S1" s="3" t="s">
        <v>18</v>
      </c>
      <c r="T1" s="3" t="s">
        <v>19</v>
      </c>
      <c r="U1" s="26" t="s">
        <v>20</v>
      </c>
      <c r="V1" s="26" t="s">
        <v>21</v>
      </c>
      <c r="W1" s="26" t="s">
        <v>22</v>
      </c>
      <c r="X1" s="26" t="s">
        <v>24</v>
      </c>
      <c r="Y1" s="3" t="s">
        <v>23</v>
      </c>
      <c r="Z1" s="26" t="s">
        <v>25</v>
      </c>
      <c r="AA1" s="26" t="s">
        <v>26</v>
      </c>
      <c r="AB1" s="26" t="s">
        <v>27</v>
      </c>
      <c r="AC1" s="30" t="s">
        <v>28</v>
      </c>
    </row>
    <row r="2">
      <c r="A2" s="34">
        <f>'Atracción 1.3 (Intrusos LP)'!A11+1</f>
        <v>36</v>
      </c>
      <c r="B2" s="34" t="s">
        <v>103</v>
      </c>
      <c r="C2" s="35" t="s">
        <v>104</v>
      </c>
      <c r="D2" s="35" t="s">
        <v>105</v>
      </c>
      <c r="E2" s="12">
        <v>2879</v>
      </c>
      <c r="F2" s="39">
        <v>3339</v>
      </c>
      <c r="G2" s="12">
        <v>4.7</v>
      </c>
      <c r="H2" s="39">
        <v>4.9</v>
      </c>
      <c r="I2" s="12">
        <f>((G2*E2)+(H2*F2))/SUM(E2,F2)</f>
        <v>4.807397877130911</v>
      </c>
      <c r="J2" s="39">
        <v>1</v>
      </c>
      <c r="K2" s="39">
        <v>0</v>
      </c>
      <c r="L2" s="39">
        <v>50</v>
      </c>
      <c r="M2" s="39">
        <v>33</v>
      </c>
      <c r="N2" s="12">
        <f>(K2*0.5)+(L2*0.4)+(M2*0.1)</f>
        <v>23.3</v>
      </c>
      <c r="O2" s="12">
        <v>837</v>
      </c>
      <c r="P2" s="40">
        <f>ABS(G2-H2)</f>
        <v>0.20000000000000018</v>
      </c>
      <c r="Q2" s="40">
        <f>ABS(H2-I2)</f>
        <v>0.09260212286908942</v>
      </c>
      <c r="R2" s="40">
        <f>ABS(H2-I2)</f>
        <v>0.09260212286908942</v>
      </c>
      <c r="S2" s="37">
        <f>SUM(E2,F2)/O2</f>
        <v>7.428912783751493</v>
      </c>
      <c r="T2" s="37">
        <f>LOG10(E2+F2)*I2</f>
        <v>18.23758840688162</v>
      </c>
      <c r="U2" s="37">
        <f>(K2/O2)*100</f>
        <v>0</v>
      </c>
      <c r="V2" s="37">
        <f>(L2/O2)*100</f>
        <v>5.973715651135006</v>
      </c>
      <c r="W2" s="37">
        <f>(M2/O2)*100</f>
        <v>3.942652329749104</v>
      </c>
      <c r="X2" s="37">
        <f>(N2/O2)*100</f>
        <v>2.783751493428913</v>
      </c>
      <c r="Y2" s="37">
        <f>E2/F2</f>
        <v>0.8622342018568434</v>
      </c>
      <c r="Z2" s="40">
        <f>(SUM(E2,F2)/(K2+0.1))/100</f>
        <v>621.8</v>
      </c>
      <c r="AA2" s="40">
        <f>(SUM(E2,F2)/(L2+0.1))/100</f>
        <v>1.2411177644710578</v>
      </c>
      <c r="AB2" s="40">
        <f>(SUM(E2,F2)/(M2+0.1))/100</f>
        <v>1.8785498489425982</v>
      </c>
      <c r="AC2" s="40">
        <f>(SUM(E2,F2)/(N2+0.1))/100</f>
        <v>2.657264957264957</v>
      </c>
      <c r="AD2" s="10"/>
    </row>
    <row r="3">
      <c r="A3" s="38">
        <f>A2+1</f>
        <v>37</v>
      </c>
      <c r="B3" s="34" t="s">
        <v>103</v>
      </c>
      <c r="C3" s="35" t="s">
        <v>106</v>
      </c>
      <c r="D3" s="35" t="s">
        <v>105</v>
      </c>
      <c r="E3" s="13">
        <v>3302</v>
      </c>
      <c r="F3" s="39">
        <v>2510</v>
      </c>
      <c r="G3" s="13">
        <v>4.7</v>
      </c>
      <c r="H3" s="39">
        <v>4.9</v>
      </c>
      <c r="I3" s="12">
        <f>((G3*E3)+(H3*F3))/SUM(E3,F3)</f>
        <v>4.7863730213351685</v>
      </c>
      <c r="J3" s="39">
        <v>2</v>
      </c>
      <c r="K3" s="39">
        <v>0</v>
      </c>
      <c r="L3" s="39">
        <v>0</v>
      </c>
      <c r="M3" s="39">
        <v>0</v>
      </c>
      <c r="N3" s="12">
        <f>(K3*0.5)+(L3*0.4)+(M3*0.1)</f>
        <v>0</v>
      </c>
      <c r="O3" s="13">
        <v>1220</v>
      </c>
      <c r="P3" s="40">
        <f>ABS(G3-H3)</f>
        <v>0.20000000000000018</v>
      </c>
      <c r="Q3" s="40">
        <f>ABS(G3-I3)</f>
        <v>0.08637302133516833</v>
      </c>
      <c r="R3" s="40">
        <f>ABS(H3-I3)</f>
        <v>0.11362697866483185</v>
      </c>
      <c r="S3" s="37">
        <f>SUM(E3,F3)/O3</f>
        <v>4.7639344262295085</v>
      </c>
      <c r="T3" s="37">
        <f>LOG10(E3+F3)*I3</f>
        <v>18.01746652228938</v>
      </c>
      <c r="U3" s="37">
        <f>(K3/O3)*100</f>
        <v>0</v>
      </c>
      <c r="V3" s="37">
        <f>(L3/O3)*100</f>
        <v>0</v>
      </c>
      <c r="W3" s="37">
        <f>(M3/O3)*100</f>
        <v>0</v>
      </c>
      <c r="X3" s="37">
        <f>(N3/O3)*100</f>
        <v>0</v>
      </c>
      <c r="Y3" s="37">
        <f>E3/F3</f>
        <v>1.3155378486055778</v>
      </c>
      <c r="Z3" s="40">
        <f>(SUM(E3,F3)/(K3+0.1))/100</f>
        <v>581.2</v>
      </c>
      <c r="AA3" s="40">
        <f>(SUM(E3,F3)/(L3+0.1))/100</f>
        <v>581.2</v>
      </c>
      <c r="AB3" s="40">
        <f>(SUM(E3,F3)/(M3+0.1))/100</f>
        <v>581.2</v>
      </c>
      <c r="AC3" s="40">
        <f>(SUM(E3,F3)/(N3+0.1))/100</f>
        <v>581.2</v>
      </c>
      <c r="AD3" s="10"/>
    </row>
    <row r="4">
      <c r="A4" s="34">
        <f>A3+1</f>
        <v>38</v>
      </c>
      <c r="B4" s="34" t="s">
        <v>103</v>
      </c>
      <c r="C4" s="35" t="s">
        <v>107</v>
      </c>
      <c r="D4" s="35" t="s">
        <v>105</v>
      </c>
      <c r="E4" s="12">
        <v>2726</v>
      </c>
      <c r="F4" s="39">
        <v>2085</v>
      </c>
      <c r="G4" s="12">
        <v>4.6</v>
      </c>
      <c r="H4" s="39">
        <v>4.8</v>
      </c>
      <c r="I4" s="12">
        <f>((G4*E4)+(H4*F4))/SUM(E4,F4)</f>
        <v>4.6866763666597375</v>
      </c>
      <c r="J4" s="39">
        <v>3</v>
      </c>
      <c r="K4" s="39">
        <v>0</v>
      </c>
      <c r="L4" s="39">
        <v>0</v>
      </c>
      <c r="M4" s="39">
        <v>0</v>
      </c>
      <c r="N4" s="12">
        <f>(K4*0.5)+(L4*0.4)+(M4*0.1)</f>
        <v>0</v>
      </c>
      <c r="O4" s="12">
        <v>1060</v>
      </c>
      <c r="P4" s="40">
        <f>ABS(G4-H4)</f>
        <v>0.20000000000000018</v>
      </c>
      <c r="Q4" s="40">
        <f>ABS(G4-I4)</f>
        <v>0.08667636665973788</v>
      </c>
      <c r="R4" s="40">
        <f>ABS(H4-I4)</f>
        <v>0.1133236333402623</v>
      </c>
      <c r="S4" s="37">
        <f>SUM(E4,F4)/O4</f>
        <v>4.538679245283019</v>
      </c>
      <c r="T4" s="37">
        <f>LOG10(E4+F4)*I4</f>
        <v>17.25744542367413</v>
      </c>
      <c r="U4" s="37">
        <f>(K4/O4)*100</f>
        <v>0</v>
      </c>
      <c r="V4" s="37">
        <f>(L4/O4)*100</f>
        <v>0</v>
      </c>
      <c r="W4" s="37">
        <f>(M4/O4)*100</f>
        <v>0</v>
      </c>
      <c r="X4" s="37">
        <f>(N4/O4)*100</f>
        <v>0</v>
      </c>
      <c r="Y4" s="37">
        <f>E4/F4</f>
        <v>1.3074340527577937</v>
      </c>
      <c r="Z4" s="40">
        <f>(SUM(E4,F4)/(K4+0.1))/100</f>
        <v>481.1</v>
      </c>
      <c r="AA4" s="40">
        <f>(SUM(E4,F4)/(L4+0.1))/100</f>
        <v>481.1</v>
      </c>
      <c r="AB4" s="40">
        <f>(SUM(E4,F4)/(M4+0.1))/100</f>
        <v>481.1</v>
      </c>
      <c r="AC4" s="40">
        <f>(SUM(E4,F4)/(N4+0.1))/100</f>
        <v>481.1</v>
      </c>
      <c r="AD4" s="10"/>
    </row>
    <row r="5">
      <c r="A5" s="34">
        <f>A4+1</f>
        <v>39</v>
      </c>
      <c r="B5" s="34" t="s">
        <v>103</v>
      </c>
      <c r="C5" s="35" t="s">
        <v>108</v>
      </c>
      <c r="D5" s="35" t="s">
        <v>105</v>
      </c>
      <c r="E5" s="12">
        <v>1593</v>
      </c>
      <c r="F5" s="39">
        <v>2211</v>
      </c>
      <c r="G5" s="12">
        <v>4.7</v>
      </c>
      <c r="H5" s="39">
        <v>4.9</v>
      </c>
      <c r="I5" s="12">
        <f>((G5*E5)+(H5*F5))/SUM(E5,F5)</f>
        <v>4.816246056782334</v>
      </c>
      <c r="J5" s="39">
        <v>4</v>
      </c>
      <c r="K5" s="39">
        <v>0</v>
      </c>
      <c r="L5" s="39">
        <v>0</v>
      </c>
      <c r="M5" s="39">
        <v>0</v>
      </c>
      <c r="N5" s="12">
        <f>(K5*0.5)+(L5*0.4)+(M5*0.1)</f>
        <v>0</v>
      </c>
      <c r="O5" s="12">
        <v>220</v>
      </c>
      <c r="P5" s="40">
        <f>ABS(G5-H5)</f>
        <v>0.20000000000000018</v>
      </c>
      <c r="Q5" s="40">
        <f>ABS(G5-I5)</f>
        <v>0.1162460567823338</v>
      </c>
      <c r="R5" s="40">
        <f>ABS(H5-I5)</f>
        <v>0.08375394321766638</v>
      </c>
      <c r="S5" s="37">
        <f>SUM(E5,F5)/O5</f>
        <v>17.29090909090909</v>
      </c>
      <c r="T5" s="37">
        <f>LOG10(E5+F5)*I5</f>
        <v>17.2433192302655</v>
      </c>
      <c r="U5" s="37">
        <f>(K5/O5)*100</f>
        <v>0</v>
      </c>
      <c r="V5" s="37">
        <f>(L5/O5)*100</f>
        <v>0</v>
      </c>
      <c r="W5" s="37">
        <f>(M5/O5)*100</f>
        <v>0</v>
      </c>
      <c r="X5" s="37">
        <f>(N5/O5)*100</f>
        <v>0</v>
      </c>
      <c r="Y5" s="37">
        <f>E5/F5</f>
        <v>0.7204884667571235</v>
      </c>
      <c r="Z5" s="40">
        <f>(SUM(E5,F5)/(K5+0.1))/100</f>
        <v>380.4</v>
      </c>
      <c r="AA5" s="40">
        <f>(SUM(E5,F5)/(L5+0.1))/100</f>
        <v>380.4</v>
      </c>
      <c r="AB5" s="40">
        <f>(SUM(E5,F5)/(M5+0.1))/100</f>
        <v>380.4</v>
      </c>
      <c r="AC5" s="40">
        <f>(SUM(E5,F5)/(N5+0.1))/100</f>
        <v>380.4</v>
      </c>
      <c r="AD5" s="10"/>
    </row>
    <row r="6">
      <c r="A6" s="34">
        <f>A5+1</f>
        <v>40</v>
      </c>
      <c r="B6" s="34" t="s">
        <v>103</v>
      </c>
      <c r="C6" s="35" t="s">
        <v>109</v>
      </c>
      <c r="D6" s="35" t="s">
        <v>105</v>
      </c>
      <c r="E6" s="12">
        <v>4975</v>
      </c>
      <c r="F6" s="39">
        <v>6541</v>
      </c>
      <c r="G6" s="12">
        <v>4.7</v>
      </c>
      <c r="H6" s="39">
        <v>4.9</v>
      </c>
      <c r="I6" s="12">
        <f>((G6*E6)+(H6*F6))/SUM(E6,F6)</f>
        <v>4.813598471691559</v>
      </c>
      <c r="J6" s="39">
        <v>5</v>
      </c>
      <c r="K6" s="39">
        <v>0</v>
      </c>
      <c r="L6" s="39">
        <v>0</v>
      </c>
      <c r="M6" s="39">
        <v>0</v>
      </c>
      <c r="N6" s="12">
        <f>(K6*0.5)+(L6*0.4)+(M6*0.1)</f>
        <v>0</v>
      </c>
      <c r="O6" s="12">
        <v>908</v>
      </c>
      <c r="P6" s="40">
        <f>ABS(G6-H6)</f>
        <v>0.20000000000000018</v>
      </c>
      <c r="Q6" s="40">
        <f>ABS(G6-I6)</f>
        <v>0.11359847169155923</v>
      </c>
      <c r="R6" s="40">
        <f>ABS(H6-I6)</f>
        <v>0.08640152830844094</v>
      </c>
      <c r="S6" s="37">
        <f>SUM(E6,F6)/O6</f>
        <v>12.682819383259911</v>
      </c>
      <c r="T6" s="37">
        <f>LOG10(E6+F6)*I6</f>
        <v>19.549475445391813</v>
      </c>
      <c r="U6" s="37">
        <f>(K6/O6)*100</f>
        <v>0</v>
      </c>
      <c r="V6" s="37">
        <f>(L6/O6)*100</f>
        <v>0</v>
      </c>
      <c r="W6" s="37">
        <f>(M6/O6)*100</f>
        <v>0</v>
      </c>
      <c r="X6" s="37">
        <f>(N6/O6)*100</f>
        <v>0</v>
      </c>
      <c r="Y6" s="37">
        <f>E6/F6</f>
        <v>0.7605870661978291</v>
      </c>
      <c r="Z6" s="40">
        <f>(SUM(E6,F6)/(K6+0.1))/100</f>
        <v>1151.6</v>
      </c>
      <c r="AA6" s="40">
        <f>(SUM(E6,F6)/(L6+0.1))/100</f>
        <v>1151.6</v>
      </c>
      <c r="AB6" s="40">
        <f>(SUM(E6,F6)/(M6+0.1))/100</f>
        <v>1151.6</v>
      </c>
      <c r="AC6" s="40">
        <f>(SUM(E6,F6)/(N6+0.1))/100</f>
        <v>1151.6</v>
      </c>
      <c r="AD6" s="10"/>
    </row>
    <row r="7">
      <c r="A7" s="34">
        <f>A6+1</f>
        <v>41</v>
      </c>
      <c r="B7" s="34" t="s">
        <v>103</v>
      </c>
      <c r="C7" s="35" t="s">
        <v>110</v>
      </c>
      <c r="D7" s="35" t="s">
        <v>105</v>
      </c>
      <c r="E7" s="12">
        <v>2753</v>
      </c>
      <c r="F7" s="39">
        <v>4410</v>
      </c>
      <c r="G7" s="12">
        <v>4.8</v>
      </c>
      <c r="H7" s="39">
        <v>4.9</v>
      </c>
      <c r="I7" s="12">
        <f>((G7*E7)+(H7*F7))/SUM(E7,F7)</f>
        <v>4.861566382800503</v>
      </c>
      <c r="J7" s="12">
        <v>6</v>
      </c>
      <c r="K7" s="12">
        <v>13</v>
      </c>
      <c r="L7" s="12">
        <v>0</v>
      </c>
      <c r="M7" s="12">
        <v>0</v>
      </c>
      <c r="N7" s="12">
        <f>(K7*0.5)+(L7*0.4)+(M7*0.1)</f>
        <v>6.5</v>
      </c>
      <c r="O7" s="12">
        <v>1080</v>
      </c>
      <c r="P7" s="37">
        <f>ABS(G7-H7)</f>
        <v>0.10000000000000053</v>
      </c>
      <c r="Q7" s="37">
        <f>ABS(G7-I7)</f>
        <v>0.061566382800503305</v>
      </c>
      <c r="R7" s="37">
        <f>ABS(H7-I7)</f>
        <v>0.03843361719949723</v>
      </c>
      <c r="S7" s="37">
        <f>SUM(E7,F7)/O7</f>
        <v>6.632407407407407</v>
      </c>
      <c r="T7" s="37">
        <f>LOG10(E7+F7)*I7</f>
        <v>18.741800017056704</v>
      </c>
      <c r="U7" s="37">
        <f>(K7/O7)*100</f>
        <v>1.2037037037037037</v>
      </c>
      <c r="V7" s="37">
        <f>(L7/O7)*100</f>
        <v>0</v>
      </c>
      <c r="W7" s="37">
        <f>(M7/O7)*100</f>
        <v>0</v>
      </c>
      <c r="X7" s="37">
        <f>(N7/O7)*100</f>
        <v>0.6018518518518519</v>
      </c>
      <c r="Y7" s="37">
        <f>E7/F7</f>
        <v>0.6242630385487529</v>
      </c>
      <c r="Z7" s="40">
        <f>(SUM(E7,F7)/(K7+0.1))/100</f>
        <v>5.46793893129771</v>
      </c>
      <c r="AA7" s="40">
        <f>(SUM(E7,F7)/(L7+0.1))/100</f>
        <v>716.3</v>
      </c>
      <c r="AB7" s="40">
        <f>(SUM(E7,F7)/(M7+0.1))/100</f>
        <v>716.3</v>
      </c>
      <c r="AC7" s="40">
        <f>(SUM(E7,F7)/(N7+0.1))/100</f>
        <v>10.853030303030302</v>
      </c>
      <c r="AD7" s="10"/>
    </row>
    <row r="8" ht="30.75">
      <c r="A8" s="34">
        <f>A7+1</f>
        <v>42</v>
      </c>
      <c r="B8" s="34" t="s">
        <v>103</v>
      </c>
      <c r="C8" s="35" t="s">
        <v>111</v>
      </c>
      <c r="D8" s="35" t="s">
        <v>105</v>
      </c>
      <c r="E8" s="12">
        <v>4594</v>
      </c>
      <c r="F8" s="39">
        <v>7390</v>
      </c>
      <c r="G8" s="12">
        <v>4.5</v>
      </c>
      <c r="H8" s="39">
        <v>4.9</v>
      </c>
      <c r="I8" s="12">
        <f>((G8*E8)+(H8*F8))/SUM(E8,F8)</f>
        <v>4.746662216288384</v>
      </c>
      <c r="J8" s="39">
        <v>7</v>
      </c>
      <c r="K8" s="39">
        <v>0</v>
      </c>
      <c r="L8" s="39">
        <v>0</v>
      </c>
      <c r="M8" s="39">
        <v>0</v>
      </c>
      <c r="N8" s="12">
        <f>(K8*0.5)+(L8*0.4)+(M8*0.1)</f>
        <v>0</v>
      </c>
      <c r="O8" s="12">
        <v>446</v>
      </c>
      <c r="P8" s="40">
        <f>ABS(G8-H8)</f>
        <v>0.40000000000000036</v>
      </c>
      <c r="Q8" s="40">
        <f>ABS(G8-I8)</f>
        <v>0.24666221628838425</v>
      </c>
      <c r="R8" s="40">
        <f>ABS(H8-I8)</f>
        <v>0.1533377837116161</v>
      </c>
      <c r="S8" s="37">
        <f>SUM(E8,F8)/O8</f>
        <v>26.869955156950674</v>
      </c>
      <c r="T8" s="37">
        <f>LOG10(E8+F8)*I8</f>
        <v>19.35974506103272</v>
      </c>
      <c r="U8" s="37">
        <f>(K8/O8)*100</f>
        <v>0</v>
      </c>
      <c r="V8" s="37">
        <f>(L8/O8)*100</f>
        <v>0</v>
      </c>
      <c r="W8" s="37">
        <f>(M8/O8)*100</f>
        <v>0</v>
      </c>
      <c r="X8" s="37">
        <f>(N8/O8)*100</f>
        <v>0</v>
      </c>
      <c r="Y8" s="37">
        <f>E8/F8</f>
        <v>0.6216508795669824</v>
      </c>
      <c r="Z8" s="40">
        <f>(SUM(E8,F8)/(K8+0.1))/100</f>
        <v>1198.4</v>
      </c>
      <c r="AA8" s="40">
        <f>(SUM(E8,F8)/(L8+0.1))/100</f>
        <v>1198.4</v>
      </c>
      <c r="AB8" s="40">
        <f>(SUM(E8,F8)/(M8+0.1))/100</f>
        <v>1198.4</v>
      </c>
      <c r="AC8" s="40">
        <f>(SUM(E8,F8)/(N8+0.1))/100</f>
        <v>1198.4</v>
      </c>
      <c r="AD8" s="10"/>
    </row>
    <row r="9">
      <c r="A9" s="34">
        <f>A8+1</f>
        <v>43</v>
      </c>
      <c r="B9" s="34" t="s">
        <v>103</v>
      </c>
      <c r="C9" s="35" t="s">
        <v>112</v>
      </c>
      <c r="D9" s="35" t="s">
        <v>105</v>
      </c>
      <c r="E9" s="12">
        <v>3265</v>
      </c>
      <c r="F9" s="39">
        <v>643</v>
      </c>
      <c r="G9" s="12">
        <v>4.9</v>
      </c>
      <c r="H9" s="39">
        <v>4.9</v>
      </c>
      <c r="I9" s="12">
        <f>((G9*E9)+(H9*F9))/SUM(E9,F9)</f>
        <v>4.9</v>
      </c>
      <c r="J9" s="39">
        <v>8</v>
      </c>
      <c r="K9" s="39">
        <v>0</v>
      </c>
      <c r="L9" s="39">
        <v>0</v>
      </c>
      <c r="M9" s="39">
        <v>0</v>
      </c>
      <c r="N9" s="12">
        <f>(K9*0.5)+(L9*0.4)+(M9*0.1)</f>
        <v>0</v>
      </c>
      <c r="O9" s="12">
        <v>679</v>
      </c>
      <c r="P9" s="40">
        <f>ABS(G9-H9)</f>
        <v>0</v>
      </c>
      <c r="Q9" s="40">
        <f>ABS(G9-I9)</f>
        <v>0</v>
      </c>
      <c r="R9" s="40">
        <f>ABS(H9-I9)</f>
        <v>0</v>
      </c>
      <c r="S9" s="37">
        <f>SUM(E9,F9)/O9</f>
        <v>5.755522827687776</v>
      </c>
      <c r="T9" s="37">
        <f>LOG10(E9+F9)*I9</f>
        <v>17.600577319729005</v>
      </c>
      <c r="U9" s="37">
        <f>(K9/O9)*100</f>
        <v>0</v>
      </c>
      <c r="V9" s="37">
        <f>(L9/O9)*100</f>
        <v>0</v>
      </c>
      <c r="W9" s="37">
        <f>(M9/O9)*100</f>
        <v>0</v>
      </c>
      <c r="X9" s="37">
        <f>(N9/O9)*100</f>
        <v>0</v>
      </c>
      <c r="Y9" s="37">
        <f>E9/F9</f>
        <v>5.077760497667185</v>
      </c>
      <c r="Z9" s="40">
        <f>(SUM(E9,F9)/(K9+0.1))/100</f>
        <v>390.8</v>
      </c>
      <c r="AA9" s="40">
        <f>(SUM(E9,F9)/(L9+0.1))/100</f>
        <v>390.8</v>
      </c>
      <c r="AB9" s="40">
        <f>(SUM(E9,F9)/(M9+0.1))/100</f>
        <v>390.8</v>
      </c>
      <c r="AC9" s="40">
        <f>(SUM(E9,F9)/(N9+0.1))/100</f>
        <v>390.8</v>
      </c>
      <c r="AD9" s="10"/>
    </row>
    <row r="10">
      <c r="A10" s="34">
        <f>A9+1</f>
        <v>44</v>
      </c>
      <c r="B10" s="34" t="s">
        <v>103</v>
      </c>
      <c r="C10" s="35" t="s">
        <v>113</v>
      </c>
      <c r="D10" s="35" t="s">
        <v>105</v>
      </c>
      <c r="E10" s="12">
        <v>2291</v>
      </c>
      <c r="F10" s="39">
        <v>3715</v>
      </c>
      <c r="G10" s="12">
        <v>4.4</v>
      </c>
      <c r="H10" s="39">
        <v>4.9</v>
      </c>
      <c r="I10" s="12">
        <f>((G10*E10)+(H10*F10))/SUM(E10,F10)</f>
        <v>4.709274059274059</v>
      </c>
      <c r="J10" s="39">
        <v>9</v>
      </c>
      <c r="K10" s="39">
        <v>50</v>
      </c>
      <c r="L10" s="39">
        <v>50</v>
      </c>
      <c r="M10" s="39">
        <v>50</v>
      </c>
      <c r="N10" s="12">
        <f>(K10*0.5)+(L10*0.4)+(M10*0.1)</f>
        <v>50</v>
      </c>
      <c r="O10" s="12">
        <v>1840</v>
      </c>
      <c r="P10" s="40">
        <f>ABS(G10-H10)</f>
        <v>0.5</v>
      </c>
      <c r="Q10" s="40">
        <f>ABS(G10-I10)</f>
        <v>0.3092740592740588</v>
      </c>
      <c r="R10" s="40">
        <f>ABS(H10-I10)</f>
        <v>0.19072594072594118</v>
      </c>
      <c r="S10" s="37">
        <f>SUM(E10,F10)/O10</f>
        <v>3.264130434782609</v>
      </c>
      <c r="T10" s="37">
        <f>LOG10(E10+F10)*I10</f>
        <v>17.794393865258613</v>
      </c>
      <c r="U10" s="37">
        <f>(K10/O10)*100</f>
        <v>2.717391304347826</v>
      </c>
      <c r="V10" s="37">
        <f>(L10/O10)*100</f>
        <v>2.717391304347826</v>
      </c>
      <c r="W10" s="37">
        <f>(M10/O10)*100</f>
        <v>2.717391304347826</v>
      </c>
      <c r="X10" s="37">
        <f>(N10/O10)*100</f>
        <v>2.717391304347826</v>
      </c>
      <c r="Y10" s="37">
        <f>E10/F10</f>
        <v>0.6166890982503365</v>
      </c>
      <c r="Z10" s="40">
        <f>(SUM(E10,F10)/(K10+0.1))/100</f>
        <v>1.1988023952095808</v>
      </c>
      <c r="AA10" s="40">
        <f>(SUM(E10,F10)/(L10+0.1))/100</f>
        <v>1.1988023952095808</v>
      </c>
      <c r="AB10" s="40">
        <f>(SUM(E10,F10)/(M10+0.1))/100</f>
        <v>1.1988023952095808</v>
      </c>
      <c r="AC10" s="40">
        <f>(SUM(E10,F10)/(N10+0.1))/100</f>
        <v>1.1988023952095808</v>
      </c>
      <c r="AD10" s="10"/>
    </row>
    <row r="11">
      <c r="A11" s="34">
        <f>A10+1</f>
        <v>45</v>
      </c>
      <c r="B11" s="34" t="s">
        <v>103</v>
      </c>
      <c r="C11" s="35" t="s">
        <v>114</v>
      </c>
      <c r="D11" s="35" t="s">
        <v>105</v>
      </c>
      <c r="E11" s="12">
        <v>2599</v>
      </c>
      <c r="F11" s="39">
        <v>2311</v>
      </c>
      <c r="G11" s="12">
        <v>4.3</v>
      </c>
      <c r="H11" s="39">
        <v>4.8</v>
      </c>
      <c r="I11" s="12">
        <f>((G11*E11)+(H11*F11))/SUM(E11,F11)</f>
        <v>4.535336048879837</v>
      </c>
      <c r="J11" s="39">
        <v>10</v>
      </c>
      <c r="K11" s="39">
        <v>100</v>
      </c>
      <c r="L11" s="39">
        <v>0</v>
      </c>
      <c r="M11" s="39">
        <v>16</v>
      </c>
      <c r="N11" s="12">
        <f>(K11*0.5)+(L11*0.4)+(M11*0.1)</f>
        <v>51.6</v>
      </c>
      <c r="O11" s="12">
        <v>1870</v>
      </c>
      <c r="P11" s="40">
        <f>ABS(G11-H11)</f>
        <v>0.5</v>
      </c>
      <c r="Q11" s="40">
        <f>ABS(G11-I11)</f>
        <v>0.23533604887983728</v>
      </c>
      <c r="R11" s="40">
        <f>ABS(H11-I11)</f>
        <v>0.2646639511201627</v>
      </c>
      <c r="S11" s="37">
        <f>SUM(E11,F11)/O11</f>
        <v>2.625668449197861</v>
      </c>
      <c r="T11" s="37">
        <f>LOG10(E11+F11)*I11</f>
        <v>16.740294950578477</v>
      </c>
      <c r="U11" s="37">
        <f>(K11/O11)*100</f>
        <v>5.347593582887701</v>
      </c>
      <c r="V11" s="37">
        <f>(L11/O11)*100</f>
        <v>0</v>
      </c>
      <c r="W11" s="37">
        <f>(M11/O11)*100</f>
        <v>0.8556149732620321</v>
      </c>
      <c r="X11" s="37">
        <f>(N11/O11)*100</f>
        <v>2.759358288770054</v>
      </c>
      <c r="Y11" s="37">
        <f>E11/F11</f>
        <v>1.1246213760276937</v>
      </c>
      <c r="Z11" s="40">
        <f>(SUM(E11,F11)/(K11+0.1))/100</f>
        <v>0.4905094905094905</v>
      </c>
      <c r="AA11" s="40">
        <f>(SUM(E11,F11)/(L11+0.1))/100</f>
        <v>491</v>
      </c>
      <c r="AB11" s="40">
        <f>(SUM(E11,F11)/(M11+0.1))/100</f>
        <v>3.0496894409937885</v>
      </c>
      <c r="AC11" s="40">
        <f>(SUM(E11,F11)/(N11+0.1))/100</f>
        <v>0.9497098646034816</v>
      </c>
      <c r="AD11" s="10"/>
    </row>
    <row r="12">
      <c r="A12" s="34">
        <f>A11+1</f>
        <v>46</v>
      </c>
      <c r="B12" s="34" t="s">
        <v>103</v>
      </c>
      <c r="C12" s="35" t="s">
        <v>115</v>
      </c>
      <c r="D12" s="35" t="s">
        <v>105</v>
      </c>
      <c r="E12" s="12">
        <v>967</v>
      </c>
      <c r="F12" s="39">
        <v>99</v>
      </c>
      <c r="G12" s="12">
        <v>4.9</v>
      </c>
      <c r="H12" s="39">
        <v>4.9</v>
      </c>
      <c r="I12" s="12">
        <f>((G12*E12)+(H12*F12))/SUM(E12,F12)</f>
        <v>4.9</v>
      </c>
      <c r="J12" s="39">
        <v>12</v>
      </c>
      <c r="K12" s="39">
        <v>0</v>
      </c>
      <c r="L12" s="39">
        <v>0</v>
      </c>
      <c r="M12" s="39">
        <v>0</v>
      </c>
      <c r="N12" s="12">
        <f>(K12*0.5)+(L12*0.4)+(M12*0.1)</f>
        <v>0</v>
      </c>
      <c r="O12" s="12">
        <v>773</v>
      </c>
      <c r="P12" s="40">
        <f>ABS(G12-H12)</f>
        <v>0</v>
      </c>
      <c r="Q12" s="40">
        <f>ABS(G12-I12)</f>
        <v>0</v>
      </c>
      <c r="R12" s="40">
        <f>ABS(H12-I12)</f>
        <v>0</v>
      </c>
      <c r="S12" s="37">
        <f>SUM(E12,F12)/O12</f>
        <v>1.3790426908150064</v>
      </c>
      <c r="T12" s="37">
        <f>LOG10(E12+F12)*I12</f>
        <v>14.836010302983714</v>
      </c>
      <c r="U12" s="37">
        <f>(K12/O12)*100</f>
        <v>0</v>
      </c>
      <c r="V12" s="37">
        <f>(L12/O12)*100</f>
        <v>0</v>
      </c>
      <c r="W12" s="37">
        <f>(M12/O12)*100</f>
        <v>0</v>
      </c>
      <c r="X12" s="37">
        <f>(N12/O12)*100</f>
        <v>0</v>
      </c>
      <c r="Y12" s="37">
        <f>E12/F12</f>
        <v>9.767676767676768</v>
      </c>
      <c r="Z12" s="40">
        <f>(SUM(E12,F12)/(K12+0.1))/100</f>
        <v>106.6</v>
      </c>
      <c r="AA12" s="40">
        <f>(SUM(E12,F12)/(L12+0.1))/100</f>
        <v>106.6</v>
      </c>
      <c r="AB12" s="40">
        <f>(SUM(E12,F12)/(M12+0.1))/100</f>
        <v>106.6</v>
      </c>
      <c r="AC12" s="40">
        <f>(SUM(E12,F12)/(N12+0.1))/100</f>
        <v>106.6</v>
      </c>
      <c r="AD12" s="10"/>
    </row>
    <row r="13">
      <c r="A13" s="34">
        <f>A12+1</f>
        <v>47</v>
      </c>
      <c r="B13" s="34" t="s">
        <v>103</v>
      </c>
      <c r="C13" s="35" t="s">
        <v>116</v>
      </c>
      <c r="D13" s="35" t="s">
        <v>105</v>
      </c>
      <c r="E13" s="12">
        <v>437</v>
      </c>
      <c r="F13" s="39">
        <v>674</v>
      </c>
      <c r="G13" s="12">
        <v>4</v>
      </c>
      <c r="H13" s="39">
        <v>4.7</v>
      </c>
      <c r="I13" s="12">
        <f>((G13*E13)+(H13*F13))/SUM(E13,F13)</f>
        <v>4.424662466246625</v>
      </c>
      <c r="J13" s="39">
        <v>13</v>
      </c>
      <c r="K13" s="39">
        <v>33</v>
      </c>
      <c r="L13" s="39">
        <v>0</v>
      </c>
      <c r="M13" s="39">
        <v>0</v>
      </c>
      <c r="N13" s="12">
        <f>(K13*0.5)+(L13*0.4)+(M13*0.1)</f>
        <v>16.5</v>
      </c>
      <c r="O13" s="12">
        <v>1750</v>
      </c>
      <c r="P13" s="40">
        <f>ABS(G13-H13)</f>
        <v>0.7000000000000002</v>
      </c>
      <c r="Q13" s="40">
        <f>ABS(G13-I13)</f>
        <v>0.42466246624662496</v>
      </c>
      <c r="R13" s="40">
        <f>ABS(H13-I13)</f>
        <v>0.2753375337533752</v>
      </c>
      <c r="S13" s="37">
        <f>SUM(E13,F13)/O13</f>
        <v>0.6348571428571429</v>
      </c>
      <c r="T13" s="37">
        <f>LOG10(E13+F13)*I13</f>
        <v>13.476256679515318</v>
      </c>
      <c r="U13" s="37">
        <f>(K13/O13)*100</f>
        <v>1.8857142857142857</v>
      </c>
      <c r="V13" s="37">
        <f>(L13/O13)*100</f>
        <v>0</v>
      </c>
      <c r="W13" s="37">
        <f>(M13/O13)*100</f>
        <v>0</v>
      </c>
      <c r="X13" s="37">
        <f>(N13/O13)*100</f>
        <v>0.9428571428571428</v>
      </c>
      <c r="Y13" s="37">
        <f>E13/F13</f>
        <v>0.6483679525222552</v>
      </c>
      <c r="Z13" s="40">
        <f>(SUM(E13,F13)/(K13+0.1))/100</f>
        <v>0.3356495468277946</v>
      </c>
      <c r="AA13" s="40">
        <f>(SUM(E13,F13)/(L13+0.1))/100</f>
        <v>111.1</v>
      </c>
      <c r="AB13" s="40">
        <f>(SUM(E13,F13)/(M13+0.1))/100</f>
        <v>111.1</v>
      </c>
      <c r="AC13" s="40">
        <f>(SUM(E13,F13)/(N13+0.1))/100</f>
        <v>0.6692771084337349</v>
      </c>
      <c r="AD13" s="10"/>
    </row>
    <row r="14" ht="30.75">
      <c r="A14" s="34">
        <f>A13+1</f>
        <v>48</v>
      </c>
      <c r="B14" s="34" t="s">
        <v>103</v>
      </c>
      <c r="C14" s="35" t="s">
        <v>117</v>
      </c>
      <c r="D14" s="35" t="s">
        <v>105</v>
      </c>
      <c r="E14" s="12">
        <v>5845</v>
      </c>
      <c r="F14" s="39">
        <v>1658</v>
      </c>
      <c r="G14" s="12">
        <v>4.8</v>
      </c>
      <c r="H14" s="39">
        <v>4.8</v>
      </c>
      <c r="I14" s="12">
        <f>((G14*E14)+(H14*F14))/SUM(E14,F14)</f>
        <v>4.8</v>
      </c>
      <c r="J14" s="39">
        <v>14</v>
      </c>
      <c r="K14" s="39">
        <v>50</v>
      </c>
      <c r="L14" s="39">
        <v>0</v>
      </c>
      <c r="M14" s="39">
        <v>0</v>
      </c>
      <c r="N14" s="12">
        <f>(K14*0.5)+(L14*0.4)+(M14*0.1)</f>
        <v>25</v>
      </c>
      <c r="O14" s="12">
        <v>910</v>
      </c>
      <c r="P14" s="40">
        <f>ABS(G14-H14)</f>
        <v>0</v>
      </c>
      <c r="Q14" s="40">
        <f>ABS(G14-I14)</f>
        <v>0</v>
      </c>
      <c r="R14" s="40">
        <f>ABS(H14-I14)</f>
        <v>0</v>
      </c>
      <c r="S14" s="37">
        <f>SUM(E14,F14)/O14</f>
        <v>8.245054945054944</v>
      </c>
      <c r="T14" s="37">
        <f>LOG10(E14+F14)*I14</f>
        <v>18.60112774296079</v>
      </c>
      <c r="U14" s="37">
        <f>(K14/O14)*100</f>
        <v>5.4945054945054945</v>
      </c>
      <c r="V14" s="37">
        <f>(L14/O14)*100</f>
        <v>0</v>
      </c>
      <c r="W14" s="37">
        <f>(M14/O14)*100</f>
        <v>0</v>
      </c>
      <c r="X14" s="37">
        <f>(N14/O14)*100</f>
        <v>2.7472527472527473</v>
      </c>
      <c r="Y14" s="37">
        <f>E14/F14</f>
        <v>3.5253317249698433</v>
      </c>
      <c r="Z14" s="40">
        <f>(SUM(E14,F14)/(K14+0.1))/100</f>
        <v>1.4976047904191616</v>
      </c>
      <c r="AA14" s="40">
        <f>(SUM(E14,F14)/(L14+0.1))/100</f>
        <v>750.3</v>
      </c>
      <c r="AB14" s="40">
        <f>(SUM(E14,F14)/(M14+0.1))/100</f>
        <v>750.3</v>
      </c>
      <c r="AC14" s="40">
        <f>(SUM(E14,F14)/(N14+0.1))/100</f>
        <v>2.9892430278884463</v>
      </c>
      <c r="AD14" s="10"/>
    </row>
    <row r="15">
      <c r="A15" s="34">
        <f>A14+1</f>
        <v>49</v>
      </c>
      <c r="B15" s="34" t="s">
        <v>103</v>
      </c>
      <c r="C15" s="35" t="s">
        <v>118</v>
      </c>
      <c r="D15" s="35" t="s">
        <v>105</v>
      </c>
      <c r="E15" s="12">
        <v>1871</v>
      </c>
      <c r="F15" s="39">
        <v>291</v>
      </c>
      <c r="G15" s="12">
        <v>4.7</v>
      </c>
      <c r="H15" s="39">
        <v>4.9</v>
      </c>
      <c r="I15" s="12">
        <f>((G15*E15)+(H15*F15))/SUM(E15,F15)</f>
        <v>4.726919518963922</v>
      </c>
      <c r="J15" s="39">
        <v>16</v>
      </c>
      <c r="K15" s="39">
        <v>8</v>
      </c>
      <c r="L15" s="39">
        <v>33</v>
      </c>
      <c r="M15" s="39">
        <v>33</v>
      </c>
      <c r="N15" s="12">
        <f>(K15*0.5)+(L15*0.4)+(M15*0.1)</f>
        <v>20.500000000000004</v>
      </c>
      <c r="O15" s="12">
        <v>4440</v>
      </c>
      <c r="P15" s="40">
        <f>ABS(G15-H15)</f>
        <v>0.20000000000000018</v>
      </c>
      <c r="Q15" s="40">
        <f>ABS(G15-I15)</f>
        <v>0.026919518963921973</v>
      </c>
      <c r="R15" s="40">
        <f>ABS(H15-I15)</f>
        <v>0.1730804810360782</v>
      </c>
      <c r="S15" s="37">
        <f>SUM(E15,F15)/O15</f>
        <v>0.48693693693693696</v>
      </c>
      <c r="T15" s="37">
        <f>LOG10(E15+F15)*I15</f>
        <v>15.763594452179866</v>
      </c>
      <c r="U15" s="37">
        <f>(K15/O15)*100</f>
        <v>0.18018018018018017</v>
      </c>
      <c r="V15" s="37">
        <f>(L15/O15)*100</f>
        <v>0.7432432432432433</v>
      </c>
      <c r="W15" s="37">
        <f>(M15/O15)*100</f>
        <v>0.7432432432432433</v>
      </c>
      <c r="X15" s="37">
        <f>(N15/O15)*100</f>
        <v>0.46171171171171177</v>
      </c>
      <c r="Y15" s="37">
        <f>E15/F15</f>
        <v>6.429553264604811</v>
      </c>
      <c r="Z15" s="40">
        <f>(SUM(E15,F15)/(K15+0.1))/100</f>
        <v>2.669135802469136</v>
      </c>
      <c r="AA15" s="40">
        <f>(SUM(E15,F15)/(L15+0.1))/100</f>
        <v>0.6531722054380664</v>
      </c>
      <c r="AB15" s="40">
        <f>(SUM(E15,F15)/(M15+0.1))/100</f>
        <v>0.6531722054380664</v>
      </c>
      <c r="AC15" s="40">
        <f>(SUM(E15,F15)/(N15+0.1))/100</f>
        <v>1.049514563106796</v>
      </c>
      <c r="AD15" s="10"/>
    </row>
    <row r="16">
      <c r="A16" s="34">
        <f>A15+1</f>
        <v>50</v>
      </c>
      <c r="B16" s="34" t="s">
        <v>103</v>
      </c>
      <c r="C16" s="35" t="s">
        <v>119</v>
      </c>
      <c r="D16" s="35" t="s">
        <v>105</v>
      </c>
      <c r="E16" s="12">
        <v>2593</v>
      </c>
      <c r="F16" s="39">
        <v>940</v>
      </c>
      <c r="G16" s="12">
        <v>4.7</v>
      </c>
      <c r="H16" s="39">
        <v>4.8</v>
      </c>
      <c r="I16" s="12">
        <f>((G16*E16)+(H16*F16))/SUM(E16,F16)</f>
        <v>4.726606283611661</v>
      </c>
      <c r="J16" s="39">
        <v>17</v>
      </c>
      <c r="K16" s="39">
        <v>100</v>
      </c>
      <c r="L16" s="39">
        <v>25</v>
      </c>
      <c r="M16" s="39">
        <v>16</v>
      </c>
      <c r="N16" s="12">
        <f>(K16*0.5)+(L16*0.4)+(M16*0.1)</f>
        <v>61.6</v>
      </c>
      <c r="O16" s="12">
        <v>900</v>
      </c>
      <c r="P16" s="40">
        <f>ABS(G16-H16)</f>
        <v>0.09999999999999964</v>
      </c>
      <c r="Q16" s="40">
        <f>ABS(G16-I16)</f>
        <v>0.02660628361166051</v>
      </c>
      <c r="R16" s="40">
        <f>ABS(H16-I16)</f>
        <v>0.07339371638833914</v>
      </c>
      <c r="S16" s="37">
        <f>SUM(E16,F16)/O16</f>
        <v>3.9255555555555555</v>
      </c>
      <c r="T16" s="37">
        <f>LOG10(E16+F16)*I16</f>
        <v>16.770678011856273</v>
      </c>
      <c r="U16" s="37">
        <f>(K16/O16)*100</f>
        <v>11.11111111111111</v>
      </c>
      <c r="V16" s="37">
        <f>(L16/O16)*100</f>
        <v>2.7777777777777777</v>
      </c>
      <c r="W16" s="37">
        <f>(M16/O16)*100</f>
        <v>1.7777777777777777</v>
      </c>
      <c r="X16" s="37">
        <f>(N16/O16)*100</f>
        <v>6.844444444444445</v>
      </c>
      <c r="Y16" s="37">
        <f>E16/F16</f>
        <v>2.758510638297872</v>
      </c>
      <c r="Z16" s="40">
        <f>(SUM(E16,F16)/(K16+0.1))/100</f>
        <v>0.352947052947053</v>
      </c>
      <c r="AA16" s="40">
        <f>(SUM(E16,F16)/(L16+0.1))/100</f>
        <v>1.4075697211155378</v>
      </c>
      <c r="AB16" s="40">
        <f>(SUM(E16,F16)/(M16+0.1))/100</f>
        <v>2.1944099378881985</v>
      </c>
      <c r="AC16" s="40">
        <f>(SUM(E16,F16)/(N16+0.1))/100</f>
        <v>0.5726094003241491</v>
      </c>
      <c r="AD16" s="10"/>
    </row>
    <row r="17">
      <c r="A17" s="34">
        <f>A16+1</f>
        <v>51</v>
      </c>
      <c r="B17" s="34" t="s">
        <v>103</v>
      </c>
      <c r="C17" s="35" t="s">
        <v>120</v>
      </c>
      <c r="D17" s="35" t="s">
        <v>105</v>
      </c>
      <c r="E17" s="12">
        <v>3445</v>
      </c>
      <c r="F17" s="39">
        <v>722</v>
      </c>
      <c r="G17" s="12">
        <v>4.8</v>
      </c>
      <c r="H17" s="39">
        <v>4.9</v>
      </c>
      <c r="I17" s="12">
        <f>((G17*E17)+(H17*F17))/SUM(E17,F17)</f>
        <v>4.817326613870891</v>
      </c>
      <c r="J17" s="39">
        <v>18</v>
      </c>
      <c r="K17" s="39">
        <v>0</v>
      </c>
      <c r="L17" s="39">
        <v>0</v>
      </c>
      <c r="M17" s="39">
        <v>0</v>
      </c>
      <c r="N17" s="12">
        <f>(K17*0.5)+(L17*0.4)+(M17*0.1)</f>
        <v>0</v>
      </c>
      <c r="O17" s="12">
        <v>526</v>
      </c>
      <c r="P17" s="40">
        <f>ABS(G17-H17)</f>
        <v>0.10000000000000053</v>
      </c>
      <c r="Q17" s="40">
        <f>ABS(G17-I17)</f>
        <v>0.01732661387089074</v>
      </c>
      <c r="R17" s="40">
        <f>ABS(H17-I17)</f>
        <v>0.0826733861291098</v>
      </c>
      <c r="S17" s="37">
        <f>SUM(E17,F17)/O17</f>
        <v>7.922053231939164</v>
      </c>
      <c r="T17" s="37">
        <f>LOG10(E17+F17)*I17</f>
        <v>17.437872086268133</v>
      </c>
      <c r="U17" s="37">
        <f>(K17/O17)*100</f>
        <v>0</v>
      </c>
      <c r="V17" s="37">
        <f>(L17/O17)*100</f>
        <v>0</v>
      </c>
      <c r="W17" s="37">
        <f>(M17/O17)*100</f>
        <v>0</v>
      </c>
      <c r="X17" s="37">
        <f>(N17/O17)*100</f>
        <v>0</v>
      </c>
      <c r="Y17" s="37">
        <f>E17/F17</f>
        <v>4.771468144044321</v>
      </c>
      <c r="Z17" s="40">
        <f>(SUM(E17,F17)/(K17+0.1))/100</f>
        <v>416.7</v>
      </c>
      <c r="AA17" s="40">
        <f>(SUM(E17,F17)/(L17+0.1))/100</f>
        <v>416.7</v>
      </c>
      <c r="AB17" s="40">
        <f>(SUM(E17,F17)/(M17+0.1))/100</f>
        <v>416.7</v>
      </c>
      <c r="AC17" s="40">
        <f>(SUM(E17,F17)/(N17+0.1))/100</f>
        <v>416.7</v>
      </c>
      <c r="AD17" s="10"/>
    </row>
    <row r="18">
      <c r="A18" s="34">
        <f>A17+1</f>
        <v>52</v>
      </c>
      <c r="B18" s="34" t="s">
        <v>103</v>
      </c>
      <c r="C18" s="35" t="s">
        <v>121</v>
      </c>
      <c r="D18" s="35" t="s">
        <v>105</v>
      </c>
      <c r="E18" s="12">
        <v>2227</v>
      </c>
      <c r="F18" s="39">
        <v>1602</v>
      </c>
      <c r="G18" s="12">
        <v>4.4</v>
      </c>
      <c r="H18" s="39">
        <v>4.7</v>
      </c>
      <c r="I18" s="12">
        <f>((G18*E18)+(H18*F18))/SUM(E18,F18)</f>
        <v>4.525515800470097</v>
      </c>
      <c r="J18" s="39">
        <v>19</v>
      </c>
      <c r="K18" s="39">
        <v>108</v>
      </c>
      <c r="L18" s="39">
        <v>25</v>
      </c>
      <c r="M18" s="39">
        <v>16</v>
      </c>
      <c r="N18" s="12">
        <f>(K18*0.5)+(L18*0.4)+(M18*0.1)</f>
        <v>65.6</v>
      </c>
      <c r="O18" s="12">
        <v>2580</v>
      </c>
      <c r="P18" s="40">
        <f>ABS(G18-H18)</f>
        <v>0.2999999999999998</v>
      </c>
      <c r="Q18" s="40">
        <f>ABS(G18-I18)</f>
        <v>0.12551580047009647</v>
      </c>
      <c r="R18" s="40">
        <f>ABS(H18-I18)</f>
        <v>0.17448419952990335</v>
      </c>
      <c r="S18" s="37">
        <f>SUM(E18,F18)/O18</f>
        <v>1.4841085271317829</v>
      </c>
      <c r="T18" s="37">
        <f>LOG10(E18+F18)*I18</f>
        <v>16.215309439839647</v>
      </c>
      <c r="U18" s="37">
        <f>(K18/O18)*100</f>
        <v>4.186046511627907</v>
      </c>
      <c r="V18" s="37">
        <f>(L18/O18)*100</f>
        <v>0.9689922480620154</v>
      </c>
      <c r="W18" s="37">
        <f>(M18/O18)*100</f>
        <v>0.6201550387596899</v>
      </c>
      <c r="X18" s="37">
        <f>(N18/O18)*100</f>
        <v>2.5426356589147283</v>
      </c>
      <c r="Y18" s="37">
        <f>E18/F18</f>
        <v>1.3901373283395755</v>
      </c>
      <c r="Z18" s="40">
        <f>(SUM(E18,F18)/(K18+0.1))/100</f>
        <v>0.35420906567992605</v>
      </c>
      <c r="AA18" s="40">
        <f>(SUM(E18,F18)/(L18+0.1))/100</f>
        <v>1.5254980079681275</v>
      </c>
      <c r="AB18" s="40">
        <f>(SUM(E18,F18)/(M18+0.1))/100</f>
        <v>2.378260869565217</v>
      </c>
      <c r="AC18" s="40">
        <f>(SUM(E18,F18)/(N18+0.1))/100</f>
        <v>0.5828006088280062</v>
      </c>
      <c r="AD18" s="10"/>
    </row>
    <row r="19">
      <c r="A19" s="34">
        <f>A18+1</f>
        <v>53</v>
      </c>
      <c r="B19" s="34" t="s">
        <v>103</v>
      </c>
      <c r="C19" s="35" t="s">
        <v>122</v>
      </c>
      <c r="D19" s="35" t="s">
        <v>105</v>
      </c>
      <c r="E19" s="12">
        <v>1849</v>
      </c>
      <c r="F19" s="39">
        <v>382</v>
      </c>
      <c r="G19" s="12">
        <v>4.8</v>
      </c>
      <c r="H19" s="39">
        <v>4.9</v>
      </c>
      <c r="I19" s="12">
        <f>((G19*E19)+(H19*F19))/SUM(E19,F19)</f>
        <v>4.817122366651725</v>
      </c>
      <c r="J19" s="39">
        <v>20</v>
      </c>
      <c r="K19" s="39">
        <v>0</v>
      </c>
      <c r="L19" s="39">
        <v>0</v>
      </c>
      <c r="M19" s="39">
        <v>0</v>
      </c>
      <c r="N19" s="12">
        <f>(K19*0.5)+(L19*0.4)+(M19*0.1)</f>
        <v>0</v>
      </c>
      <c r="O19" s="12">
        <v>244</v>
      </c>
      <c r="P19" s="40">
        <f>ABS(G19-H19)</f>
        <v>0.10000000000000053</v>
      </c>
      <c r="Q19" s="40">
        <f>ABS(G19-I19)</f>
        <v>0.017122366651725507</v>
      </c>
      <c r="R19" s="40">
        <f>ABS(H19-I19)</f>
        <v>0.08287763334827503</v>
      </c>
      <c r="S19" s="37">
        <f>SUM(E19,F19)/O19</f>
        <v>9.14344262295082</v>
      </c>
      <c r="T19" s="37">
        <f>LOG10(E19+F19)*I19</f>
        <v>16.130132174737966</v>
      </c>
      <c r="U19" s="37">
        <f>(K19/O19)*100</f>
        <v>0</v>
      </c>
      <c r="V19" s="37">
        <f>(L19/O19)*100</f>
        <v>0</v>
      </c>
      <c r="W19" s="37">
        <f>(M19/O19)*100</f>
        <v>0</v>
      </c>
      <c r="X19" s="37">
        <f>(N19/O19)*100</f>
        <v>0</v>
      </c>
      <c r="Y19" s="37">
        <f>E19/F19</f>
        <v>4.840314136125654</v>
      </c>
      <c r="Z19" s="40">
        <f>(SUM(E19,F19)/(K19+0.1))/100</f>
        <v>223.1</v>
      </c>
      <c r="AA19" s="40">
        <f>(SUM(E19,F19)/(L19+0.1))/100</f>
        <v>223.1</v>
      </c>
      <c r="AB19" s="40">
        <f>(SUM(E19,F19)/(M19+0.1))/100</f>
        <v>223.1</v>
      </c>
      <c r="AC19" s="40">
        <f>(SUM(E19,F19)/(N19+0.1))/100</f>
        <v>223.1</v>
      </c>
      <c r="AD19" s="10"/>
    </row>
    <row r="20">
      <c r="A20" s="34">
        <f>A19+1</f>
        <v>54</v>
      </c>
      <c r="B20" s="34" t="s">
        <v>103</v>
      </c>
      <c r="C20" s="35" t="s">
        <v>123</v>
      </c>
      <c r="D20" s="35" t="s">
        <v>105</v>
      </c>
      <c r="E20" s="12">
        <v>4816</v>
      </c>
      <c r="F20" s="39">
        <v>874</v>
      </c>
      <c r="G20" s="12">
        <v>4.8</v>
      </c>
      <c r="H20" s="39">
        <v>4.8</v>
      </c>
      <c r="I20" s="12">
        <f>((G20*E20)+(H20*F20))/SUM(E20,F20)</f>
        <v>4.8</v>
      </c>
      <c r="J20" s="39">
        <v>21</v>
      </c>
      <c r="K20" s="39">
        <v>0</v>
      </c>
      <c r="L20" s="39">
        <v>0</v>
      </c>
      <c r="M20" s="39">
        <v>0</v>
      </c>
      <c r="N20" s="12">
        <f>(K20*0.5)+(L20*0.4)+(M20*0.1)</f>
        <v>0</v>
      </c>
      <c r="O20" s="12">
        <v>1940</v>
      </c>
      <c r="P20" s="40">
        <f>ABS(G20-H20)</f>
        <v>0</v>
      </c>
      <c r="Q20" s="40">
        <f>ABS(G20-I20)</f>
        <v>0</v>
      </c>
      <c r="R20" s="40">
        <f>ABS(H20-I20)</f>
        <v>0</v>
      </c>
      <c r="S20" s="37">
        <f>SUM(E20,F20)/O20</f>
        <v>2.9329896907216493</v>
      </c>
      <c r="T20" s="37">
        <f>LOG10(E20+F20)*I20</f>
        <v>18.02453887869634</v>
      </c>
      <c r="U20" s="37">
        <f>(K20/O20)*100</f>
        <v>0</v>
      </c>
      <c r="V20" s="37">
        <f>(L20/O20)*100</f>
        <v>0</v>
      </c>
      <c r="W20" s="37">
        <f>(M20/O20)*100</f>
        <v>0</v>
      </c>
      <c r="X20" s="37">
        <f>(N20/O20)*100</f>
        <v>0</v>
      </c>
      <c r="Y20" s="37">
        <f>E20/F20</f>
        <v>5.510297482837529</v>
      </c>
      <c r="Z20" s="40">
        <f>(SUM(E20,F20)/(K20+0.1))/100</f>
        <v>569</v>
      </c>
      <c r="AA20" s="40">
        <f>(SUM(E20,F20)/(L20+0.1))/100</f>
        <v>569</v>
      </c>
      <c r="AB20" s="40">
        <f>(SUM(E20,F20)/(M20+0.1))/100</f>
        <v>569</v>
      </c>
      <c r="AC20" s="40">
        <f>(SUM(E20,F20)/(N20+0.1))/100</f>
        <v>569</v>
      </c>
      <c r="AD20" s="10"/>
    </row>
    <row r="21" s="2" customFormat="1">
      <c r="A21" s="34">
        <f>A20+1</f>
        <v>55</v>
      </c>
      <c r="B21" s="34" t="s">
        <v>103</v>
      </c>
      <c r="C21" s="35" t="s">
        <v>124</v>
      </c>
      <c r="D21" s="35" t="s">
        <v>105</v>
      </c>
      <c r="E21" s="12">
        <v>4721</v>
      </c>
      <c r="F21" s="39">
        <v>418</v>
      </c>
      <c r="G21" s="12">
        <v>4.7</v>
      </c>
      <c r="H21" s="39">
        <v>4.8</v>
      </c>
      <c r="I21" s="12">
        <f>((G21*E21)+(H21*F21))/SUM(E21,F21)</f>
        <v>4.708133878186418</v>
      </c>
      <c r="J21" s="39">
        <v>22</v>
      </c>
      <c r="K21" s="39">
        <v>0</v>
      </c>
      <c r="L21" s="39">
        <v>0</v>
      </c>
      <c r="M21" s="39">
        <v>0</v>
      </c>
      <c r="N21" s="12">
        <f>(K21*0.5)+(L21*0.4)+(M21*0.1)</f>
        <v>0</v>
      </c>
      <c r="O21" s="12">
        <v>4680</v>
      </c>
      <c r="P21" s="40">
        <f>ABS(G21-H21)</f>
        <v>0.09999999999999964</v>
      </c>
      <c r="Q21" s="40">
        <f>ABS(G21-I21)</f>
        <v>0.008133878186417753</v>
      </c>
      <c r="R21" s="40">
        <f>ABS(H21-I21)</f>
        <v>0.09186612181358189</v>
      </c>
      <c r="S21" s="37">
        <f>SUM(E21,F21)/O21</f>
        <v>1.0980769230769232</v>
      </c>
      <c r="T21" s="37">
        <f>LOG10(E21+F21)*I21</f>
        <v>17.471313337761146</v>
      </c>
      <c r="U21" s="37">
        <f>(K21/O21)*100</f>
        <v>0</v>
      </c>
      <c r="V21" s="37">
        <f>(L21/O21)*100</f>
        <v>0</v>
      </c>
      <c r="W21" s="37">
        <f>(M21/O21)*100</f>
        <v>0</v>
      </c>
      <c r="X21" s="37">
        <f>(N21/O21)*100</f>
        <v>0</v>
      </c>
      <c r="Y21" s="37">
        <f>E21/F21</f>
        <v>11.294258373205741</v>
      </c>
      <c r="Z21" s="40">
        <f>(SUM(E21,F21)/(K21+0.1))/100</f>
        <v>513.9</v>
      </c>
      <c r="AA21" s="40">
        <f>(SUM(E21,F21)/(L21+0.1))/100</f>
        <v>513.9</v>
      </c>
      <c r="AB21" s="40">
        <f>(SUM(E21,F21)/(M21+0.1))/100</f>
        <v>513.9</v>
      </c>
      <c r="AC21" s="40">
        <f>(SUM(E21,F21)/(N21+0.1))/100</f>
        <v>513.9</v>
      </c>
      <c r="AD21" s="10"/>
    </row>
    <row r="22">
      <c r="A22" s="34">
        <f>A21+1</f>
        <v>56</v>
      </c>
      <c r="B22" s="34" t="s">
        <v>103</v>
      </c>
      <c r="C22" s="35" t="s">
        <v>125</v>
      </c>
      <c r="D22" s="35" t="s">
        <v>105</v>
      </c>
      <c r="E22" s="13">
        <v>1750</v>
      </c>
      <c r="F22" s="39">
        <v>2399</v>
      </c>
      <c r="G22" s="13">
        <v>4.3</v>
      </c>
      <c r="H22" s="39">
        <v>4.7</v>
      </c>
      <c r="I22" s="12">
        <f>((G22*E22)+(H22*F22))/SUM(E22,F22)</f>
        <v>4.5312846469028685</v>
      </c>
      <c r="J22" s="39">
        <v>23</v>
      </c>
      <c r="K22" s="39">
        <v>0</v>
      </c>
      <c r="L22" s="39">
        <v>0</v>
      </c>
      <c r="M22" s="39">
        <v>0</v>
      </c>
      <c r="N22" s="12">
        <f>(K22*0.5)+(L22*0.4)+(M22*0.1)</f>
        <v>0</v>
      </c>
      <c r="O22" s="12">
        <v>227</v>
      </c>
      <c r="P22" s="40">
        <f>ABS(G22-H22)</f>
        <v>0.40000000000000036</v>
      </c>
      <c r="Q22" s="40">
        <f>ABS(G22-I22)</f>
        <v>0.23128464690286865</v>
      </c>
      <c r="R22" s="40">
        <f>ABS(H22-I22)</f>
        <v>0.1687153530971317</v>
      </c>
      <c r="S22" s="37">
        <f>SUM(E22,F22)/O22</f>
        <v>18.277533039647576</v>
      </c>
      <c r="T22" s="37">
        <f>LOG10(E22+F22)*I22</f>
        <v>16.393931539603553</v>
      </c>
      <c r="U22" s="37">
        <f>(K22/O22)*100</f>
        <v>0</v>
      </c>
      <c r="V22" s="37">
        <f>(L22/O22)*100</f>
        <v>0</v>
      </c>
      <c r="W22" s="37">
        <f>(M22/O22)*100</f>
        <v>0</v>
      </c>
      <c r="X22" s="37">
        <f>(N22/O22)*100</f>
        <v>0</v>
      </c>
      <c r="Y22" s="37">
        <f>E22/F22</f>
        <v>0.7294706127553147</v>
      </c>
      <c r="Z22" s="40">
        <f>(SUM(E22,F22)/(K22+0.1))/100</f>
        <v>414.9</v>
      </c>
      <c r="AA22" s="40">
        <f>(SUM(E22,F22)/(L22+0.1))/100</f>
        <v>414.9</v>
      </c>
      <c r="AB22" s="40">
        <f>(SUM(E22,F22)/(M22+0.1))/100</f>
        <v>414.9</v>
      </c>
      <c r="AC22" s="40">
        <f>(SUM(E22,F22)/(N22+0.1))/100</f>
        <v>414.9</v>
      </c>
      <c r="AD22" s="10"/>
    </row>
    <row r="23">
      <c r="A23" s="34">
        <f>A22+1</f>
        <v>57</v>
      </c>
      <c r="B23" s="34" t="s">
        <v>103</v>
      </c>
      <c r="C23" s="35" t="s">
        <v>126</v>
      </c>
      <c r="D23" s="35" t="s">
        <v>105</v>
      </c>
      <c r="E23" s="12">
        <v>1151</v>
      </c>
      <c r="F23" s="39">
        <v>211</v>
      </c>
      <c r="G23" s="12">
        <v>4.8</v>
      </c>
      <c r="H23" s="39">
        <v>4.8</v>
      </c>
      <c r="I23" s="12">
        <f>((G23*E23)+(H23*F23))/SUM(E23,F23)</f>
        <v>4.800000000000001</v>
      </c>
      <c r="J23" s="39">
        <v>25</v>
      </c>
      <c r="K23" s="39">
        <v>0</v>
      </c>
      <c r="L23" s="39">
        <v>0</v>
      </c>
      <c r="M23" s="39">
        <v>0</v>
      </c>
      <c r="N23" s="12">
        <f>(K23*0.5)+(L23*0.4)+(M23*0.1)</f>
        <v>0</v>
      </c>
      <c r="O23" s="12">
        <v>1500</v>
      </c>
      <c r="P23" s="40">
        <f>ABS(G23-H23)</f>
        <v>0</v>
      </c>
      <c r="Q23" s="40">
        <f>ABS(G23-I23)</f>
        <v>8.881784197001252E-16</v>
      </c>
      <c r="R23" s="40">
        <f>ABS(H23-I23)</f>
        <v>8.881784197001252E-16</v>
      </c>
      <c r="S23" s="37">
        <f>SUM(E23,F23)/O23</f>
        <v>0.908</v>
      </c>
      <c r="T23" s="37">
        <f>LOG10(E23+F23)*I23</f>
        <v>15.044050116368481</v>
      </c>
      <c r="U23" s="37">
        <f>(K23/O23)*100</f>
        <v>0</v>
      </c>
      <c r="V23" s="37">
        <f>(L23/O23)*100</f>
        <v>0</v>
      </c>
      <c r="W23" s="37">
        <f>(M23/O23)*100</f>
        <v>0</v>
      </c>
      <c r="X23" s="37">
        <f>(N23/O23)*100</f>
        <v>0</v>
      </c>
      <c r="Y23" s="37">
        <f>E23/F23</f>
        <v>5.454976303317536</v>
      </c>
      <c r="Z23" s="40">
        <f>(SUM(E23,F23)/(K23+0.1))/100</f>
        <v>136.2</v>
      </c>
      <c r="AA23" s="40">
        <f>(SUM(E23,F23)/(L23+0.1))/100</f>
        <v>136.2</v>
      </c>
      <c r="AB23" s="40">
        <f>(SUM(E23,F23)/(M23+0.1))/100</f>
        <v>136.2</v>
      </c>
      <c r="AC23" s="40">
        <f>(SUM(E23,F23)/(N23+0.1))/100</f>
        <v>136.2</v>
      </c>
      <c r="AD23" s="10"/>
    </row>
    <row r="24">
      <c r="A24" s="34">
        <f>A23+1</f>
        <v>58</v>
      </c>
      <c r="B24" s="34" t="s">
        <v>103</v>
      </c>
      <c r="C24" s="35" t="s">
        <v>127</v>
      </c>
      <c r="D24" s="35" t="s">
        <v>105</v>
      </c>
      <c r="E24" s="12">
        <v>807</v>
      </c>
      <c r="F24" s="39">
        <v>891</v>
      </c>
      <c r="G24" s="12">
        <v>4.7</v>
      </c>
      <c r="H24" s="39">
        <v>4.9</v>
      </c>
      <c r="I24" s="12">
        <f>((G24*E24)+(H24*F24))/SUM(E24,F24)</f>
        <v>4.804946996466431</v>
      </c>
      <c r="J24" s="39">
        <v>26</v>
      </c>
      <c r="K24" s="39">
        <v>0</v>
      </c>
      <c r="L24" s="39">
        <v>16</v>
      </c>
      <c r="M24" s="39">
        <v>0</v>
      </c>
      <c r="N24" s="12">
        <f>(K24*0.5)+(L24*0.4)+(M24*0.1)</f>
        <v>6.4</v>
      </c>
      <c r="O24" s="12">
        <v>869</v>
      </c>
      <c r="P24" s="40">
        <f>ABS(G24-H24)</f>
        <v>0.20000000000000018</v>
      </c>
      <c r="Q24" s="40">
        <f>ABS(G24-I24)</f>
        <v>0.10494699646643113</v>
      </c>
      <c r="R24" s="40">
        <f>ABS(H24-I24)</f>
        <v>0.09505300353356905</v>
      </c>
      <c r="S24" s="37">
        <f>SUM(E24,F24)/O24</f>
        <v>1.953970080552359</v>
      </c>
      <c r="T24" s="37">
        <f>LOG10(E24+F24)*I24</f>
        <v>15.519679382677063</v>
      </c>
      <c r="U24" s="37">
        <f>(K24/O24)*100</f>
        <v>0</v>
      </c>
      <c r="V24" s="37">
        <f>(L24/O24)*100</f>
        <v>1.8411967779056386</v>
      </c>
      <c r="W24" s="37">
        <f>(M24/O24)*100</f>
        <v>0</v>
      </c>
      <c r="X24" s="37">
        <f>(N24/O24)*100</f>
        <v>0.7364787111622555</v>
      </c>
      <c r="Y24" s="37">
        <f>E24/F24</f>
        <v>0.9057239057239057</v>
      </c>
      <c r="Z24" s="40">
        <f>(SUM(E24,F24)/(K24+0.1))/100</f>
        <v>169.8</v>
      </c>
      <c r="AA24" s="40">
        <f>(SUM(E24,F24)/(L24+0.1))/100</f>
        <v>1.0546583850931674</v>
      </c>
      <c r="AB24" s="40">
        <f>(SUM(E24,F24)/(M24+0.1))/100</f>
        <v>169.8</v>
      </c>
      <c r="AC24" s="40">
        <f>(SUM(E24,F24)/(N24+0.1))/100</f>
        <v>2.6123076923076924</v>
      </c>
      <c r="AD24" s="10"/>
    </row>
    <row r="25">
      <c r="A25" s="34">
        <f>A24+1</f>
        <v>59</v>
      </c>
      <c r="B25" s="34" t="s">
        <v>103</v>
      </c>
      <c r="C25" s="35" t="s">
        <v>128</v>
      </c>
      <c r="D25" s="35" t="s">
        <v>105</v>
      </c>
      <c r="E25" s="12">
        <v>1096</v>
      </c>
      <c r="F25" s="39">
        <v>476</v>
      </c>
      <c r="G25" s="12">
        <v>4.2</v>
      </c>
      <c r="H25" s="39">
        <v>4.6</v>
      </c>
      <c r="I25" s="12">
        <f>((G25*E25)+(H25*F25))/SUM(E25,F25)</f>
        <v>4.321119592875317</v>
      </c>
      <c r="J25" s="39">
        <v>27</v>
      </c>
      <c r="K25" s="39">
        <v>0</v>
      </c>
      <c r="L25" s="39">
        <v>0</v>
      </c>
      <c r="M25" s="39">
        <v>0</v>
      </c>
      <c r="N25" s="12">
        <f>(K25*0.5)+(L25*0.4)+(M25*0.1)</f>
        <v>0</v>
      </c>
      <c r="O25" s="13">
        <v>1410</v>
      </c>
      <c r="P25" s="40">
        <f>ABS(G25-H25)</f>
        <v>0.39999999999999947</v>
      </c>
      <c r="Q25" s="40">
        <f>ABS(G25-I25)</f>
        <v>0.12111959287531704</v>
      </c>
      <c r="R25" s="40">
        <f>ABS(H25-I25)</f>
        <v>0.27888040712468243</v>
      </c>
      <c r="S25" s="37">
        <f>SUM(E25,F25)/O25</f>
        <v>1.1148936170212767</v>
      </c>
      <c r="T25" s="37">
        <f>LOG10(E25+F25)*I25</f>
        <v>13.812253705650622</v>
      </c>
      <c r="U25" s="37">
        <f>(K25/O25)*100</f>
        <v>0</v>
      </c>
      <c r="V25" s="37">
        <f>(L25/O25)*100</f>
        <v>0</v>
      </c>
      <c r="W25" s="37">
        <f>(M25/O25)*100</f>
        <v>0</v>
      </c>
      <c r="X25" s="37">
        <f>(N25/O25)*100</f>
        <v>0</v>
      </c>
      <c r="Y25" s="37">
        <f>E25/F25</f>
        <v>2.302521008403361</v>
      </c>
      <c r="Z25" s="40">
        <f>(SUM(E25,F25)/(K25+0.1))/100</f>
        <v>157.2</v>
      </c>
      <c r="AA25" s="40">
        <f>(SUM(E25,F25)/(L25+0.1))/100</f>
        <v>157.2</v>
      </c>
      <c r="AB25" s="40">
        <f>(SUM(E25,F25)/(M25+0.1))/100</f>
        <v>157.2</v>
      </c>
      <c r="AC25" s="40">
        <f>(SUM(E25,F25)/(N25+0.1))/100</f>
        <v>157.2</v>
      </c>
      <c r="AD25" s="10"/>
    </row>
    <row r="26">
      <c r="A26" s="34">
        <f>A25+1</f>
        <v>60</v>
      </c>
      <c r="B26" s="34" t="s">
        <v>103</v>
      </c>
      <c r="C26" s="35" t="s">
        <v>129</v>
      </c>
      <c r="D26" s="35" t="s">
        <v>105</v>
      </c>
      <c r="E26" s="12">
        <v>975</v>
      </c>
      <c r="F26" s="39">
        <v>534</v>
      </c>
      <c r="G26" s="12">
        <v>4.8</v>
      </c>
      <c r="H26" s="39">
        <v>4.9</v>
      </c>
      <c r="I26" s="12">
        <f>((G26*E26)+(H26*F26))/SUM(E26,F26)</f>
        <v>4.835387673956262</v>
      </c>
      <c r="J26" s="39">
        <v>28</v>
      </c>
      <c r="K26" s="39">
        <v>0</v>
      </c>
      <c r="L26" s="39">
        <v>0</v>
      </c>
      <c r="M26" s="39">
        <v>0</v>
      </c>
      <c r="N26" s="12">
        <f>(K26*0.5)+(L26*0.4)+(M26*0.1)</f>
        <v>0</v>
      </c>
      <c r="O26" s="40">
        <v>974</v>
      </c>
      <c r="P26" s="40">
        <f>ABS(G26-H26)</f>
        <v>0.10000000000000053</v>
      </c>
      <c r="Q26" s="40">
        <f>ABS(G26-I26)</f>
        <v>0.03538767395626241</v>
      </c>
      <c r="R26" s="40">
        <f>ABS(H26-I26)</f>
        <v>0.06461232604373812</v>
      </c>
      <c r="S26" s="40">
        <f>SUM(E26,F26)/O26</f>
        <v>1.5492813141683779</v>
      </c>
      <c r="T26" s="37">
        <f>LOG10(E26+F26)*I26</f>
        <v>15.37019476934829</v>
      </c>
      <c r="U26" s="37">
        <f>(K26/O26)*100</f>
        <v>0</v>
      </c>
      <c r="V26" s="37">
        <f>(L26/O26)*100</f>
        <v>0</v>
      </c>
      <c r="W26" s="37">
        <f>(M26/O26)*100</f>
        <v>0</v>
      </c>
      <c r="X26" s="40">
        <f>(N26/O26)*100</f>
        <v>0</v>
      </c>
      <c r="Y26" s="37">
        <f>E26/F26</f>
        <v>1.8258426966292134</v>
      </c>
      <c r="Z26" s="40">
        <f>(SUM(E26,F26)/(K26+0.1))/100</f>
        <v>150.9</v>
      </c>
      <c r="AA26" s="40">
        <f>(SUM(E26,F26)/(L26+0.1))/100</f>
        <v>150.9</v>
      </c>
      <c r="AB26" s="40">
        <f>(SUM(E26,F26)/(M26+0.1))/100</f>
        <v>150.9</v>
      </c>
      <c r="AC26" s="40">
        <f>(SUM(E26,F26)/(N26+0.1))/100</f>
        <v>150.9</v>
      </c>
    </row>
    <row r="27">
      <c r="X27" s="9"/>
      <c r="Y27" s="1"/>
      <c r="Z27" s="1"/>
      <c r="AA27" s="1"/>
      <c r="AB27" s="1"/>
      <c r="AC27" s="10"/>
    </row>
    <row r="28">
      <c r="B28" s="11" t="s">
        <v>56</v>
      </c>
    </row>
  </sheetData>
  <pageMargins left="0.699999988079071" right="0.699999988079071" top="0.75" bottom="0.75" header="0.30000001192092896" footer="0.30000001192092896"/>
  <pageSetup paperSize="9" orientation="portrait" r:id="rId1"/>
  <legacyDrawing r:id="rId3"/>
</worksheet>
</file>

<file path=xl/worksheets/sheet6.xml><?xml version="1.0" encoding="utf-8"?>
<worksheet xmlns="http://schemas.openxmlformats.org/spreadsheetml/2006/main" xmlns:r="http://schemas.openxmlformats.org/officeDocument/2006/relationships">
  <dimension ref="A1:AC9"/>
  <sheetViews>
    <sheetView zoomScale="70" zoomScaleNormal="70" topLeftCell="Q1" workbookViewId="0">
      <selection activeCell="AC6" sqref="AC6"/>
    </sheetView>
  </sheetViews>
  <sheetFormatPr defaultColWidth="11.421875" defaultRowHeight="15"/>
  <cols>
    <col min="1" max="1" width="5.421875" customWidth="1"/>
    <col min="2" max="2" width="27.57421875" customWidth="1"/>
    <col min="3" max="4" width="32.57421875" customWidth="1"/>
    <col min="5" max="5" width="37.00390625" customWidth="1"/>
    <col min="6" max="6" width="37.28125" customWidth="1"/>
    <col min="7" max="7" width="24.57421875" customWidth="1"/>
    <col min="8" max="8" width="20.140625" customWidth="1"/>
    <col min="9" max="9" width="19.140625" customWidth="1"/>
    <col min="10" max="13" width="17.421875" customWidth="1"/>
    <col min="14" max="14" width="21.00390625" customWidth="1"/>
    <col min="15" max="15" width="24.28125" customWidth="1"/>
    <col min="16" max="18" width="16.8515625" customWidth="1"/>
    <col min="19" max="19" width="27.28125" customWidth="1"/>
    <col min="20" max="23" width="23.57421875" customWidth="1"/>
    <col min="24" max="24" width="22.28125" customWidth="1"/>
    <col min="25" max="28" width="18.57421875" customWidth="1"/>
    <col min="29" max="29" width="15.421875" customWidth="1"/>
  </cols>
  <sheetData>
    <row r="1" ht="75">
      <c r="A1" s="41" t="s">
        <v>0</v>
      </c>
      <c r="B1" s="41" t="s">
        <v>1</v>
      </c>
      <c r="C1" s="41" t="s">
        <v>2</v>
      </c>
      <c r="D1" s="41" t="s">
        <v>3</v>
      </c>
      <c r="E1" s="41" t="s">
        <v>4</v>
      </c>
      <c r="F1" s="41" t="s">
        <v>5</v>
      </c>
      <c r="G1" s="41" t="s">
        <v>6</v>
      </c>
      <c r="H1" s="41" t="s">
        <v>7</v>
      </c>
      <c r="I1" s="41" t="s">
        <v>8</v>
      </c>
      <c r="J1" s="41" t="s">
        <v>9</v>
      </c>
      <c r="K1" s="42" t="s">
        <v>10</v>
      </c>
      <c r="L1" s="42" t="s">
        <v>11</v>
      </c>
      <c r="M1" s="42" t="s">
        <v>12</v>
      </c>
      <c r="N1" s="42" t="s">
        <v>102</v>
      </c>
      <c r="O1" s="43" t="s">
        <v>14</v>
      </c>
      <c r="P1" s="42" t="s">
        <v>15</v>
      </c>
      <c r="Q1" s="42" t="s">
        <v>16</v>
      </c>
      <c r="R1" s="42" t="s">
        <v>17</v>
      </c>
      <c r="S1" s="41" t="s">
        <v>18</v>
      </c>
      <c r="T1" s="41" t="s">
        <v>19</v>
      </c>
      <c r="U1" s="26" t="s">
        <v>20</v>
      </c>
      <c r="V1" s="26" t="s">
        <v>21</v>
      </c>
      <c r="W1" s="26" t="s">
        <v>22</v>
      </c>
      <c r="X1" s="26" t="s">
        <v>24</v>
      </c>
      <c r="Y1" s="3" t="s">
        <v>23</v>
      </c>
      <c r="Z1" s="26" t="s">
        <v>25</v>
      </c>
      <c r="AA1" s="26" t="s">
        <v>26</v>
      </c>
      <c r="AB1" s="26" t="s">
        <v>27</v>
      </c>
      <c r="AC1" s="30" t="s">
        <v>28</v>
      </c>
    </row>
    <row r="2">
      <c r="A2" s="34">
        <f>'Restauración 2.1 (TripAdvisor)'!A26+1</f>
        <v>61</v>
      </c>
      <c r="B2" s="34" t="s">
        <v>103</v>
      </c>
      <c r="C2" s="35" t="s">
        <v>130</v>
      </c>
      <c r="D2" s="35" t="s">
        <v>131</v>
      </c>
      <c r="E2" s="12">
        <v>383</v>
      </c>
      <c r="F2" s="39">
        <v>90</v>
      </c>
      <c r="G2" s="12">
        <v>4.6</v>
      </c>
      <c r="H2" s="39">
        <v>4.5</v>
      </c>
      <c r="I2" s="12">
        <f>((G2*E2)+(H2*F2))/SUM(E2,F2)</f>
        <v>4.580972515856237</v>
      </c>
      <c r="J2" s="40">
        <v>261</v>
      </c>
      <c r="K2" s="40">
        <v>0</v>
      </c>
      <c r="L2" s="40">
        <v>0</v>
      </c>
      <c r="M2" s="40">
        <v>0</v>
      </c>
      <c r="N2" s="12">
        <f>(K2*0.5)+(L2*0.4)+(M2*0.1)</f>
        <v>0</v>
      </c>
      <c r="O2" s="12">
        <v>671</v>
      </c>
      <c r="P2" s="40">
        <f>ABS(G2-H2)</f>
        <v>0.09999999999999964</v>
      </c>
      <c r="Q2" s="40">
        <f>ABS(G2-I2)</f>
        <v>0.019027484143762763</v>
      </c>
      <c r="R2" s="40">
        <f>ABS(H2-I2)</f>
        <v>0.08097251585623688</v>
      </c>
      <c r="S2" s="37">
        <f>SUM(E2,F2)/O2</f>
        <v>0.7049180327868853</v>
      </c>
      <c r="T2" s="37">
        <f>LOG10(E2+F2)*I2</f>
        <v>12.253465369451776</v>
      </c>
      <c r="U2" s="37">
        <f>(K2/O2)*100</f>
        <v>0</v>
      </c>
      <c r="V2" s="40">
        <f>(L2/O2)*100</f>
        <v>0</v>
      </c>
      <c r="W2" s="40">
        <f>(M2/O2)*100</f>
        <v>0</v>
      </c>
      <c r="X2" s="37">
        <f>(N2/O2)*100</f>
        <v>0</v>
      </c>
      <c r="Y2" s="40">
        <f>E2/F2</f>
        <v>4.2555555555555555</v>
      </c>
      <c r="Z2" s="40">
        <f>(SUM(E2,F2)/(K2+0.1))/100</f>
        <v>47.3</v>
      </c>
      <c r="AA2" s="40">
        <f>(SUM(E2,F2)/(L2+0.1))/100</f>
        <v>47.3</v>
      </c>
      <c r="AB2" s="40">
        <f>(SUM(E2,F2)/(M2+0.1))/100</f>
        <v>47.3</v>
      </c>
      <c r="AC2" s="40">
        <f>(SUM(E2,F2)/(N2+0.1))/100</f>
        <v>47.3</v>
      </c>
    </row>
    <row r="3">
      <c r="A3" s="34">
        <f>A2+1</f>
        <v>62</v>
      </c>
      <c r="B3" s="34" t="s">
        <v>103</v>
      </c>
      <c r="C3" s="35" t="s">
        <v>132</v>
      </c>
      <c r="D3" s="35" t="s">
        <v>131</v>
      </c>
      <c r="E3" s="12">
        <v>1222</v>
      </c>
      <c r="F3" s="39">
        <v>174</v>
      </c>
      <c r="G3" s="12">
        <v>4.2</v>
      </c>
      <c r="H3" s="39">
        <v>4</v>
      </c>
      <c r="I3" s="12">
        <f>((G3*E3)+(H3*F3))/SUM(E3,F3)</f>
        <v>4.175071633237823</v>
      </c>
      <c r="J3" s="40">
        <v>478</v>
      </c>
      <c r="K3" s="40">
        <v>0</v>
      </c>
      <c r="L3" s="40">
        <v>0</v>
      </c>
      <c r="M3" s="40">
        <v>0</v>
      </c>
      <c r="N3" s="12">
        <f>(K3*0.5)+(L3*0.4)+(M3*0.1)</f>
        <v>0</v>
      </c>
      <c r="O3" s="12">
        <v>426</v>
      </c>
      <c r="P3" s="40">
        <f>ABS(G3-H3)</f>
        <v>0.20000000000000018</v>
      </c>
      <c r="Q3" s="40">
        <f>ABS(G3-I3)</f>
        <v>0.024928366762177134</v>
      </c>
      <c r="R3" s="40">
        <f>ABS(H3-I3)</f>
        <v>0.17507163323782304</v>
      </c>
      <c r="S3" s="37">
        <f>SUM(E3,F3)/O3</f>
        <v>3.276995305164319</v>
      </c>
      <c r="T3" s="37">
        <f>LOG10(E3+F3)*I3</f>
        <v>13.130121899673913</v>
      </c>
      <c r="U3" s="37">
        <f>(K3/O3)*100</f>
        <v>0</v>
      </c>
      <c r="V3" s="40">
        <f>(L3/O3)*100</f>
        <v>0</v>
      </c>
      <c r="W3" s="40">
        <f>(M3/O3)*100</f>
        <v>0</v>
      </c>
      <c r="X3" s="37">
        <f>(N3/O3)*100</f>
        <v>0</v>
      </c>
      <c r="Y3" s="37">
        <f>E3/F3</f>
        <v>7.022988505747127</v>
      </c>
      <c r="Z3" s="40">
        <f>(SUM(E3,F3)/(K3+0.1))/100</f>
        <v>139.6</v>
      </c>
      <c r="AA3" s="40">
        <f>(SUM(E3,F3)/(L3+0.1))/100</f>
        <v>139.6</v>
      </c>
      <c r="AB3" s="40">
        <f>(SUM(E3,F3)/(M3+0.1))/100</f>
        <v>139.6</v>
      </c>
      <c r="AC3" s="40">
        <f>(SUM(E3,F3)/(N3+0.1))/100</f>
        <v>139.6</v>
      </c>
    </row>
    <row r="4">
      <c r="A4" s="34">
        <f>A3+1</f>
        <v>63</v>
      </c>
      <c r="B4" s="34" t="s">
        <v>103</v>
      </c>
      <c r="C4" s="35" t="s">
        <v>133</v>
      </c>
      <c r="D4" s="35" t="s">
        <v>131</v>
      </c>
      <c r="E4" s="12">
        <v>4217</v>
      </c>
      <c r="F4" s="39">
        <v>769</v>
      </c>
      <c r="G4" s="12">
        <v>4.2</v>
      </c>
      <c r="H4" s="39">
        <v>3.6</v>
      </c>
      <c r="I4" s="12">
        <f>((G4*E4)+(H4*F4))/SUM(E4,F4)</f>
        <v>4.107460890493382</v>
      </c>
      <c r="J4" s="40">
        <v>437</v>
      </c>
      <c r="K4" s="40">
        <v>0</v>
      </c>
      <c r="L4" s="40">
        <v>0</v>
      </c>
      <c r="M4" s="40">
        <v>0</v>
      </c>
      <c r="N4" s="12">
        <f>(K4*0.5)+(L4*0.4)+(M4*0.1)</f>
        <v>0</v>
      </c>
      <c r="O4" s="12">
        <v>397</v>
      </c>
      <c r="P4" s="40">
        <f>ABS(G4-H4)</f>
        <v>0.6000000000000001</v>
      </c>
      <c r="Q4" s="40">
        <f>ABS(G4-I4)</f>
        <v>0.09253910950661837</v>
      </c>
      <c r="R4" s="40">
        <f>ABS(H4-I4)</f>
        <v>0.5074608904933817</v>
      </c>
      <c r="S4" s="37">
        <f>SUM(E4,F4)/O4</f>
        <v>12.55919395465995</v>
      </c>
      <c r="T4" s="37">
        <f>LOG10(E4+F4)*I4</f>
        <v>15.188372848877012</v>
      </c>
      <c r="U4" s="37">
        <f>(K4/O4)*100</f>
        <v>0</v>
      </c>
      <c r="V4" s="40">
        <f>(L4/O4)*100</f>
        <v>0</v>
      </c>
      <c r="W4" s="40">
        <f>(M4/O4)*100</f>
        <v>0</v>
      </c>
      <c r="X4" s="37">
        <f>(N4/O4)*100</f>
        <v>0</v>
      </c>
      <c r="Y4" s="37">
        <f>E4/F4</f>
        <v>5.483745123537061</v>
      </c>
      <c r="Z4" s="40">
        <f>(SUM(E4,F4)/(K4+0.1))/100</f>
        <v>498.6</v>
      </c>
      <c r="AA4" s="40">
        <f>(SUM(E4,F4)/(L4+0.1))/100</f>
        <v>498.6</v>
      </c>
      <c r="AB4" s="40">
        <f>(SUM(E4,F4)/(M4+0.1))/100</f>
        <v>498.6</v>
      </c>
      <c r="AC4" s="40">
        <f>(SUM(E4,F4)/(N4+0.1))/100</f>
        <v>498.6</v>
      </c>
    </row>
    <row r="5">
      <c r="A5" s="34">
        <f>A4+1</f>
        <v>64</v>
      </c>
      <c r="B5" s="34" t="s">
        <v>103</v>
      </c>
      <c r="C5" s="35" t="s">
        <v>134</v>
      </c>
      <c r="D5" s="35" t="s">
        <v>131</v>
      </c>
      <c r="E5" s="12">
        <v>846</v>
      </c>
      <c r="F5" s="40">
        <v>19</v>
      </c>
      <c r="G5" s="12">
        <v>4.5</v>
      </c>
      <c r="H5" s="40">
        <v>4.3</v>
      </c>
      <c r="I5" s="12">
        <f>((G5*E5)+(H5*F5))/SUM(E5,F5)</f>
        <v>4.495606936416185</v>
      </c>
      <c r="J5" s="40" t="s">
        <v>61</v>
      </c>
      <c r="K5" s="40">
        <v>0</v>
      </c>
      <c r="L5" s="40">
        <v>0</v>
      </c>
      <c r="M5" s="40">
        <v>0</v>
      </c>
      <c r="N5" s="12">
        <f>(K5*0.5)+(L5*0.4)+(M5*0.1)</f>
        <v>0</v>
      </c>
      <c r="O5" s="40">
        <v>4760</v>
      </c>
      <c r="P5" s="40">
        <f>ABS(G5-H5)</f>
        <v>0.20000000000000018</v>
      </c>
      <c r="Q5" s="40">
        <f>ABS(G5-I5)</f>
        <v>0.004393063583814971</v>
      </c>
      <c r="R5" s="40">
        <f>ABS(H5-I5)</f>
        <v>0.1956069364161852</v>
      </c>
      <c r="S5" s="37">
        <f>SUM(E5,F5)/O5</f>
        <v>0.18172268907563024</v>
      </c>
      <c r="T5" s="37">
        <f>LOG10(E5+F5)*I5</f>
        <v>13.203669985084883</v>
      </c>
      <c r="U5" s="37">
        <f>(K5/O5)*100</f>
        <v>0</v>
      </c>
      <c r="V5" s="40">
        <f>(L5/O5)*100</f>
        <v>0</v>
      </c>
      <c r="W5" s="40">
        <f>(M5/O5)*100</f>
        <v>0</v>
      </c>
      <c r="X5" s="37">
        <f>(N5/O5)*100</f>
        <v>0</v>
      </c>
      <c r="Y5" s="37">
        <f>E5/F5</f>
        <v>44.526315789473685</v>
      </c>
      <c r="Z5" s="40">
        <f>(SUM(E5,F5)/(K5+0.1))/100</f>
        <v>86.5</v>
      </c>
      <c r="AA5" s="40">
        <f>(SUM(E5,F5)/(L5+0.1))/100</f>
        <v>86.5</v>
      </c>
      <c r="AB5" s="40">
        <f>(SUM(E5,F5)/(M5+0.1))/100</f>
        <v>86.5</v>
      </c>
      <c r="AC5" s="40">
        <f>(SUM(E5,F5)/(N5+0.1))/100</f>
        <v>86.5</v>
      </c>
    </row>
    <row r="6">
      <c r="A6" s="34">
        <f>A5+1</f>
        <v>65</v>
      </c>
      <c r="B6" s="34" t="s">
        <v>103</v>
      </c>
      <c r="C6" s="35" t="s">
        <v>135</v>
      </c>
      <c r="D6" s="35" t="s">
        <v>131</v>
      </c>
      <c r="E6" s="12">
        <v>8332</v>
      </c>
      <c r="F6" s="40">
        <v>1161</v>
      </c>
      <c r="G6" s="12">
        <v>4.4</v>
      </c>
      <c r="H6" s="40">
        <v>3.8</v>
      </c>
      <c r="I6" s="12">
        <f>((G6*E6)+(H6*F6))/SUM(E6,F6)</f>
        <v>4.326619614452755</v>
      </c>
      <c r="J6" s="40">
        <v>304</v>
      </c>
      <c r="K6" s="40">
        <v>0</v>
      </c>
      <c r="L6" s="40">
        <v>0</v>
      </c>
      <c r="M6" s="40">
        <v>0</v>
      </c>
      <c r="N6" s="12">
        <f>(K6*0.5)+(L6*0.4)+(M6*0.1)</f>
        <v>0</v>
      </c>
      <c r="O6" s="40">
        <v>760</v>
      </c>
      <c r="P6" s="40">
        <f>ABS(G6-H6)</f>
        <v>0.6000000000000005</v>
      </c>
      <c r="Q6" s="40">
        <f>ABS(G6-I6)</f>
        <v>0.07338038554724502</v>
      </c>
      <c r="R6" s="40">
        <f>ABS(H6-I6)</f>
        <v>0.5266196144527555</v>
      </c>
      <c r="S6" s="37">
        <f>SUM(E6,F6)/O6</f>
        <v>12.490789473684211</v>
      </c>
      <c r="T6" s="37">
        <f>LOG10(E6+F6)*I6</f>
        <v>17.208711914939666</v>
      </c>
      <c r="U6" s="37">
        <f>(K6/O6)*100</f>
        <v>0</v>
      </c>
      <c r="V6" s="40">
        <f>(L6/O6)*100</f>
        <v>0</v>
      </c>
      <c r="W6" s="40">
        <f>(M6/O6)*100</f>
        <v>0</v>
      </c>
      <c r="X6" s="37">
        <f>(N6/O6)*100</f>
        <v>0</v>
      </c>
      <c r="Y6" s="37">
        <f>E6/F6</f>
        <v>7.176571920757968</v>
      </c>
      <c r="Z6" s="40">
        <f>(SUM(E6,F6)/(K6+0.1))/100</f>
        <v>949.3</v>
      </c>
      <c r="AA6" s="40">
        <f>(SUM(E6,F6)/(L6+0.1))/100</f>
        <v>949.3</v>
      </c>
      <c r="AB6" s="40">
        <f>(SUM(E6,F6)/(M6+0.1))/100</f>
        <v>949.3</v>
      </c>
      <c r="AC6" s="40">
        <f>(SUM(E6,F6)/(N6+0.1))/100</f>
        <v>949.3</v>
      </c>
    </row>
    <row r="7">
      <c r="A7" s="34">
        <f>A6+1</f>
        <v>66</v>
      </c>
      <c r="B7" s="34" t="s">
        <v>103</v>
      </c>
      <c r="C7" s="35" t="s">
        <v>136</v>
      </c>
      <c r="D7" s="35" t="s">
        <v>131</v>
      </c>
      <c r="E7" s="12">
        <v>253</v>
      </c>
      <c r="F7" s="40">
        <v>1</v>
      </c>
      <c r="G7" s="40">
        <v>4.7</v>
      </c>
      <c r="H7" s="40">
        <v>0</v>
      </c>
      <c r="I7" s="12">
        <f>((G7*E7)+(H7*F7))/SUM(E7,F7)</f>
        <v>4.681496062992126</v>
      </c>
      <c r="J7" s="40" t="s">
        <v>61</v>
      </c>
      <c r="K7" s="40">
        <v>0</v>
      </c>
      <c r="L7" s="40">
        <v>0</v>
      </c>
      <c r="M7" s="40">
        <v>0</v>
      </c>
      <c r="N7" s="12">
        <f>(K7*0.5)+(L7*0.4)+(M7*0.1)</f>
        <v>0</v>
      </c>
      <c r="O7" s="40">
        <v>1310</v>
      </c>
      <c r="P7" s="40">
        <f>ABS(G7-H7)</f>
        <v>4.7</v>
      </c>
      <c r="Q7" s="40">
        <f>ABS(G7-I7)</f>
        <v>0.018503937007873894</v>
      </c>
      <c r="R7" s="40">
        <f>ABS(H7-I7)</f>
        <v>4.681496062992126</v>
      </c>
      <c r="S7" s="37">
        <f>SUM(E7,F7)/O7</f>
        <v>0.19389312977099238</v>
      </c>
      <c r="T7" s="37">
        <f>LOG10(E7+F7)*I7</f>
        <v>11.258219576506963</v>
      </c>
      <c r="U7" s="37">
        <f>(K7/O7)*100</f>
        <v>0</v>
      </c>
      <c r="V7" s="40">
        <f>(L7/O7)*100</f>
        <v>0</v>
      </c>
      <c r="W7" s="40">
        <f>(M7/O7)*100</f>
        <v>0</v>
      </c>
      <c r="X7" s="37">
        <f>(N7/O7)*100</f>
        <v>0</v>
      </c>
      <c r="Y7" s="37">
        <f>E7/F7</f>
        <v>253</v>
      </c>
      <c r="Z7" s="40">
        <f>(SUM(E7,F7)/(K7+0.1))/100</f>
        <v>25.4</v>
      </c>
      <c r="AA7" s="40">
        <f>(SUM(E7,F7)/(L7+0.1))/100</f>
        <v>25.4</v>
      </c>
      <c r="AB7" s="40">
        <f>(SUM(E7,F7)/(M7+0.1))/100</f>
        <v>25.4</v>
      </c>
      <c r="AC7" s="40">
        <f>(SUM(E7,F7)/(N7+0.1))/100</f>
        <v>25.4</v>
      </c>
    </row>
    <row r="8">
      <c r="A8" s="34">
        <f>A7+1</f>
        <v>67</v>
      </c>
      <c r="B8" s="34" t="s">
        <v>103</v>
      </c>
      <c r="C8" s="35" t="s">
        <v>137</v>
      </c>
      <c r="D8" s="35" t="s">
        <v>131</v>
      </c>
      <c r="E8" s="12">
        <v>3799</v>
      </c>
      <c r="F8" s="40">
        <v>1</v>
      </c>
      <c r="G8" s="12">
        <v>4.7</v>
      </c>
      <c r="H8" s="40">
        <v>0</v>
      </c>
      <c r="I8" s="12">
        <f>((G8*E8)+(H8*F8))/SUM(E8,F8)</f>
        <v>4.698763157894737</v>
      </c>
      <c r="J8" s="40" t="s">
        <v>61</v>
      </c>
      <c r="K8" s="40">
        <v>0</v>
      </c>
      <c r="L8" s="40">
        <v>0</v>
      </c>
      <c r="M8" s="40">
        <v>0</v>
      </c>
      <c r="N8" s="12">
        <f>(K8*0.5)+(L8*0.4)+(M8*0.1)</f>
        <v>0</v>
      </c>
      <c r="O8" s="40">
        <v>6260</v>
      </c>
      <c r="P8" s="40">
        <f>ABS(G8-H8)</f>
        <v>4.7</v>
      </c>
      <c r="Q8" s="40">
        <f>ABS(G8-I8)</f>
        <v>0.0012368421052633138</v>
      </c>
      <c r="R8" s="40">
        <f>ABS(H8-I8)</f>
        <v>4.698763157894737</v>
      </c>
      <c r="S8" s="37">
        <f>SUM(E8,F8)/O8</f>
        <v>0.6070287539936102</v>
      </c>
      <c r="T8" s="37">
        <f>LOG10(E8+F8)*I8</f>
        <v>16.820555277018983</v>
      </c>
      <c r="U8" s="37">
        <f>(K8/O8)*100</f>
        <v>0</v>
      </c>
      <c r="V8" s="40">
        <f>(L8/O8)*100</f>
        <v>0</v>
      </c>
      <c r="W8" s="40">
        <f>(M8/O8)*100</f>
        <v>0</v>
      </c>
      <c r="X8" s="37">
        <f>(N8/O8)*100</f>
        <v>0</v>
      </c>
      <c r="Y8" s="37">
        <f>E8/F8</f>
        <v>3799</v>
      </c>
      <c r="Z8" s="40">
        <f>(SUM(E8,F8)/(K8+0.1))/100</f>
        <v>380</v>
      </c>
      <c r="AA8" s="40">
        <f>(SUM(E8,F8)/(L8+0.1))/100</f>
        <v>380</v>
      </c>
      <c r="AB8" s="40">
        <f>(SUM(E8,F8)/(M8+0.1))/100</f>
        <v>380</v>
      </c>
      <c r="AC8" s="40">
        <f>(SUM(E8,F8)/(N8+0.1))/100</f>
        <v>380</v>
      </c>
    </row>
    <row r="9">
      <c r="B9" s="11" t="s">
        <v>56</v>
      </c>
      <c r="D9" s="33"/>
      <c r="N9" s="32"/>
    </row>
  </sheetData>
  <pageMargins left="0.699999988079071" right="0.699999988079071" top="0.75" bottom="0.75" header="0.30000001192092896" footer="0.30000001192092896"/>
  <pageSetup paperSize="9" orientation="portrait" r:id="rId1"/>
  <legacyDrawing r:id="rId3"/>
</worksheet>
</file>

<file path=xl/worksheets/sheet7.xml><?xml version="1.0" encoding="utf-8"?>
<worksheet xmlns="http://schemas.openxmlformats.org/spreadsheetml/2006/main" xmlns:r="http://schemas.openxmlformats.org/officeDocument/2006/relationships">
  <dimension ref="A1:AD33"/>
  <sheetViews>
    <sheetView zoomScale="55" zoomScaleNormal="55" workbookViewId="0">
      <selection activeCell="C1" sqref="C1"/>
    </sheetView>
  </sheetViews>
  <sheetFormatPr defaultColWidth="18.00390625" defaultRowHeight="15"/>
  <cols>
    <col min="1" max="1" width="4.8515625" customWidth="1"/>
    <col min="2" max="2" width="16.28125" customWidth="1"/>
    <col min="3" max="3" width="19.57421875" customWidth="1"/>
    <col min="4" max="4" width="12.57421875" customWidth="1"/>
    <col min="5" max="5" width="21.7109375" customWidth="1"/>
    <col min="6" max="6" width="22.7109375" customWidth="1"/>
    <col min="9" max="9" width="15.00390625" customWidth="1"/>
    <col min="10" max="10" width="12.140625" customWidth="1"/>
    <col min="11" max="11" width="17.28125" customWidth="1"/>
    <col min="12" max="14" width="17.00390625" customWidth="1"/>
    <col min="15" max="15" width="15.00390625" customWidth="1"/>
    <col min="16" max="16" width="15.8515625" customWidth="1"/>
    <col min="17" max="17" width="16.57421875" customWidth="1"/>
    <col min="18" max="18" width="16.7109375" customWidth="1"/>
    <col min="19" max="19" width="16.57421875" customWidth="1"/>
    <col min="20" max="20" width="17.7109375" customWidth="1"/>
    <col min="21" max="21" width="17.28125" customWidth="1"/>
    <col min="22" max="22" width="18.57421875" customWidth="1"/>
    <col min="23" max="23" width="18.8515625" customWidth="1"/>
    <col min="24" max="24" width="19.421875" customWidth="1"/>
    <col min="25" max="25" width="15.00390625" customWidth="1"/>
    <col min="26" max="26" width="16.28125" customWidth="1"/>
    <col min="27" max="28" width="17.57421875" customWidth="1"/>
    <col min="29" max="29" width="18.28125" customWidth="1"/>
    <col min="30" max="30" width="16.28125" customWidth="1"/>
  </cols>
  <sheetData>
    <row r="1" ht="75">
      <c r="A1" s="26" t="s">
        <v>0</v>
      </c>
      <c r="B1" s="26" t="s">
        <v>1</v>
      </c>
      <c r="C1" s="26" t="s">
        <v>2</v>
      </c>
      <c r="D1" s="26" t="s">
        <v>3</v>
      </c>
      <c r="E1" s="26" t="s">
        <v>4</v>
      </c>
      <c r="F1" s="26" t="s">
        <v>5</v>
      </c>
      <c r="G1" s="26" t="s">
        <v>6</v>
      </c>
      <c r="H1" s="26" t="s">
        <v>7</v>
      </c>
      <c r="I1" s="26" t="s">
        <v>8</v>
      </c>
      <c r="J1" s="26" t="s">
        <v>71</v>
      </c>
      <c r="K1" s="26" t="s">
        <v>9</v>
      </c>
      <c r="L1" s="27" t="s">
        <v>10</v>
      </c>
      <c r="M1" s="27" t="s">
        <v>11</v>
      </c>
      <c r="N1" s="27" t="s">
        <v>12</v>
      </c>
      <c r="O1" s="27" t="s">
        <v>13</v>
      </c>
      <c r="P1" s="27" t="s">
        <v>14</v>
      </c>
      <c r="Q1" s="27" t="s">
        <v>15</v>
      </c>
      <c r="R1" s="27" t="s">
        <v>16</v>
      </c>
      <c r="S1" s="27" t="s">
        <v>17</v>
      </c>
      <c r="T1" s="26" t="s">
        <v>18</v>
      </c>
      <c r="U1" s="26" t="s">
        <v>19</v>
      </c>
      <c r="V1" s="26" t="s">
        <v>20</v>
      </c>
      <c r="W1" s="26" t="s">
        <v>21</v>
      </c>
      <c r="X1" s="26" t="s">
        <v>22</v>
      </c>
      <c r="Y1" s="26" t="s">
        <v>24</v>
      </c>
      <c r="Z1" s="26" t="s">
        <v>23</v>
      </c>
      <c r="AA1" s="26" t="s">
        <v>25</v>
      </c>
      <c r="AB1" s="26" t="s">
        <v>26</v>
      </c>
      <c r="AC1" s="26" t="s">
        <v>27</v>
      </c>
      <c r="AD1" s="30" t="s">
        <v>28</v>
      </c>
    </row>
    <row r="2" ht="30.75">
      <c r="A2" s="34">
        <f>'Atracción 1.3 (Intrusos LP)'!A11+1</f>
        <v>36</v>
      </c>
      <c r="B2" s="34" t="s">
        <v>103</v>
      </c>
      <c r="C2" s="35" t="s">
        <v>104</v>
      </c>
      <c r="D2" s="35" t="s">
        <v>105</v>
      </c>
      <c r="E2" s="12">
        <v>2879</v>
      </c>
      <c r="F2" s="39">
        <v>3339</v>
      </c>
      <c r="G2" s="12">
        <v>4.7</v>
      </c>
      <c r="H2" s="39">
        <v>4.9</v>
      </c>
      <c r="I2" s="12">
        <f>((G2*E2)+(H2*F2))/SUM(E2,F2)</f>
        <v>4.807397877130911</v>
      </c>
      <c r="J2" s="12">
        <v>1</v>
      </c>
      <c r="K2" s="39">
        <v>1</v>
      </c>
      <c r="L2" s="39">
        <v>0</v>
      </c>
      <c r="M2" s="39">
        <v>50</v>
      </c>
      <c r="N2" s="39">
        <v>33</v>
      </c>
      <c r="O2" s="12">
        <f>(L2*0.5)+(M2*0.4)+(N2*0.1)</f>
        <v>23.3</v>
      </c>
      <c r="P2" s="12">
        <v>837</v>
      </c>
      <c r="Q2" s="40">
        <f>ABS(G2-H2)</f>
        <v>0.20000000000000018</v>
      </c>
      <c r="R2" s="40">
        <f>ABS(H2-I2)</f>
        <v>0.09260212286908942</v>
      </c>
      <c r="S2" s="40">
        <f>ABS(H2-I2)</f>
        <v>0.09260212286908942</v>
      </c>
      <c r="T2" s="37">
        <f>SUM(E2,F2)/P2</f>
        <v>7.428912783751493</v>
      </c>
      <c r="U2" s="37">
        <f>LOG10(E2+F2)*I2</f>
        <v>18.23758840688162</v>
      </c>
      <c r="V2" s="37">
        <f>(L2/P2)*100</f>
        <v>0</v>
      </c>
      <c r="W2" s="37">
        <f>(M2/P2)*100</f>
        <v>5.973715651135006</v>
      </c>
      <c r="X2" s="37">
        <f>(N2/P2)*100</f>
        <v>3.942652329749104</v>
      </c>
      <c r="Y2" s="37">
        <f>(O2/P2)*100</f>
        <v>2.783751493428913</v>
      </c>
      <c r="Z2" s="37">
        <f>E2/F2</f>
        <v>0.8622342018568434</v>
      </c>
      <c r="AA2" s="40">
        <f>(SUM(E2,F2)/(L2+0.1))/100</f>
        <v>621.8</v>
      </c>
      <c r="AB2" s="40">
        <f>(SUM(E2,F2)/(M2+0.1))/100</f>
        <v>1.2411177644710578</v>
      </c>
      <c r="AC2" s="40">
        <f>(SUM(E2,F2)/(N2+0.1))/100</f>
        <v>1.8785498489425982</v>
      </c>
      <c r="AD2" s="40">
        <f>(SUM(E2,F2)/(O2+0.1))/100</f>
        <v>2.657264957264957</v>
      </c>
    </row>
    <row r="3">
      <c r="A3" s="38">
        <f>A2+1</f>
        <v>37</v>
      </c>
      <c r="B3" s="34" t="s">
        <v>103</v>
      </c>
      <c r="C3" s="35" t="s">
        <v>106</v>
      </c>
      <c r="D3" s="35" t="s">
        <v>105</v>
      </c>
      <c r="E3" s="13">
        <v>3302</v>
      </c>
      <c r="F3" s="39">
        <v>2510</v>
      </c>
      <c r="G3" s="13">
        <v>4.7</v>
      </c>
      <c r="H3" s="39">
        <v>4.9</v>
      </c>
      <c r="I3" s="12">
        <f>((G3*E3)+(H3*F3))/SUM(E3,F3)</f>
        <v>4.7863730213351685</v>
      </c>
      <c r="J3" s="12">
        <v>1</v>
      </c>
      <c r="K3" s="39">
        <v>2</v>
      </c>
      <c r="L3" s="39">
        <v>0</v>
      </c>
      <c r="M3" s="39">
        <v>0</v>
      </c>
      <c r="N3" s="39">
        <v>0</v>
      </c>
      <c r="O3" s="12">
        <f>(L3*0.5)+(M3*0.4)+(N3*0.1)</f>
        <v>0</v>
      </c>
      <c r="P3" s="13">
        <v>1220</v>
      </c>
      <c r="Q3" s="40">
        <f>ABS(G3-H3)</f>
        <v>0.20000000000000018</v>
      </c>
      <c r="R3" s="40">
        <f>ABS(G3-I3)</f>
        <v>0.08637302133516833</v>
      </c>
      <c r="S3" s="40">
        <f>ABS(H3-I3)</f>
        <v>0.11362697866483185</v>
      </c>
      <c r="T3" s="37">
        <f>SUM(E3,F3)/P3</f>
        <v>4.7639344262295085</v>
      </c>
      <c r="U3" s="37">
        <f>LOG10(E3+F3)*I3</f>
        <v>18.01746652228938</v>
      </c>
      <c r="V3" s="37">
        <f>(L3/P3)*100</f>
        <v>0</v>
      </c>
      <c r="W3" s="37">
        <f>(M3/P3)*100</f>
        <v>0</v>
      </c>
      <c r="X3" s="37">
        <f>(N3/P3)*100</f>
        <v>0</v>
      </c>
      <c r="Y3" s="37">
        <f>(O3/P3)*100</f>
        <v>0</v>
      </c>
      <c r="Z3" s="37">
        <f>E3/F3</f>
        <v>1.3155378486055778</v>
      </c>
      <c r="AA3" s="40">
        <f>(SUM(E3,F3)/(L3+0.1))/100</f>
        <v>581.2</v>
      </c>
      <c r="AB3" s="40">
        <f>(SUM(E3,F3)/(M3+0.1))/100</f>
        <v>581.2</v>
      </c>
      <c r="AC3" s="40">
        <f>(SUM(E3,F3)/(N3+0.1))/100</f>
        <v>581.2</v>
      </c>
      <c r="AD3" s="40">
        <f>(SUM(E3,F3)/(O3+0.1))/100</f>
        <v>581.2</v>
      </c>
    </row>
    <row r="4">
      <c r="A4" s="34">
        <f>A3+1</f>
        <v>38</v>
      </c>
      <c r="B4" s="34" t="s">
        <v>103</v>
      </c>
      <c r="C4" s="35" t="s">
        <v>107</v>
      </c>
      <c r="D4" s="35" t="s">
        <v>105</v>
      </c>
      <c r="E4" s="12">
        <v>2726</v>
      </c>
      <c r="F4" s="39">
        <v>2085</v>
      </c>
      <c r="G4" s="12">
        <v>4.6</v>
      </c>
      <c r="H4" s="39">
        <v>4.8</v>
      </c>
      <c r="I4" s="12">
        <f>((G4*E4)+(H4*F4))/SUM(E4,F4)</f>
        <v>4.6866763666597375</v>
      </c>
      <c r="J4" s="12">
        <v>1</v>
      </c>
      <c r="K4" s="39">
        <v>3</v>
      </c>
      <c r="L4" s="39">
        <v>0</v>
      </c>
      <c r="M4" s="39">
        <v>0</v>
      </c>
      <c r="N4" s="39">
        <v>0</v>
      </c>
      <c r="O4" s="12">
        <f>(L4*0.5)+(M4*0.4)+(N4*0.1)</f>
        <v>0</v>
      </c>
      <c r="P4" s="12">
        <v>1060</v>
      </c>
      <c r="Q4" s="40">
        <f>ABS(G4-H4)</f>
        <v>0.20000000000000018</v>
      </c>
      <c r="R4" s="40">
        <f>ABS(G4-I4)</f>
        <v>0.08667636665973788</v>
      </c>
      <c r="S4" s="40">
        <f>ABS(H4-I4)</f>
        <v>0.1133236333402623</v>
      </c>
      <c r="T4" s="37">
        <f>SUM(E4,F4)/P4</f>
        <v>4.538679245283019</v>
      </c>
      <c r="U4" s="37">
        <f>LOG10(E4+F4)*I4</f>
        <v>17.25744542367413</v>
      </c>
      <c r="V4" s="37">
        <f>(L4/P4)*100</f>
        <v>0</v>
      </c>
      <c r="W4" s="37">
        <f>(M4/P4)*100</f>
        <v>0</v>
      </c>
      <c r="X4" s="37">
        <f>(N4/P4)*100</f>
        <v>0</v>
      </c>
      <c r="Y4" s="37">
        <f>(O4/P4)*100</f>
        <v>0</v>
      </c>
      <c r="Z4" s="37">
        <f>E4/F4</f>
        <v>1.3074340527577937</v>
      </c>
      <c r="AA4" s="40">
        <f>(SUM(E4,F4)/(L4+0.1))/100</f>
        <v>481.1</v>
      </c>
      <c r="AB4" s="40">
        <f>(SUM(E4,F4)/(M4+0.1))/100</f>
        <v>481.1</v>
      </c>
      <c r="AC4" s="40">
        <f>(SUM(E4,F4)/(N4+0.1))/100</f>
        <v>481.1</v>
      </c>
      <c r="AD4" s="40">
        <f>(SUM(E4,F4)/(O4+0.1))/100</f>
        <v>481.1</v>
      </c>
    </row>
    <row r="5" ht="30.75">
      <c r="A5" s="34">
        <f>A4+1</f>
        <v>39</v>
      </c>
      <c r="B5" s="34" t="s">
        <v>103</v>
      </c>
      <c r="C5" s="35" t="s">
        <v>108</v>
      </c>
      <c r="D5" s="35" t="s">
        <v>105</v>
      </c>
      <c r="E5" s="12">
        <v>1593</v>
      </c>
      <c r="F5" s="39">
        <v>2211</v>
      </c>
      <c r="G5" s="12">
        <v>4.7</v>
      </c>
      <c r="H5" s="39">
        <v>4.9</v>
      </c>
      <c r="I5" s="12">
        <f>((G5*E5)+(H5*F5))/SUM(E5,F5)</f>
        <v>4.816246056782334</v>
      </c>
      <c r="J5" s="12">
        <v>1</v>
      </c>
      <c r="K5" s="39">
        <v>4</v>
      </c>
      <c r="L5" s="39">
        <v>0</v>
      </c>
      <c r="M5" s="39">
        <v>0</v>
      </c>
      <c r="N5" s="39">
        <v>0</v>
      </c>
      <c r="O5" s="12">
        <f>(L5*0.5)+(M5*0.4)+(N5*0.1)</f>
        <v>0</v>
      </c>
      <c r="P5" s="12">
        <v>220</v>
      </c>
      <c r="Q5" s="40">
        <f>ABS(G5-H5)</f>
        <v>0.20000000000000018</v>
      </c>
      <c r="R5" s="40">
        <f>ABS(G5-I5)</f>
        <v>0.1162460567823338</v>
      </c>
      <c r="S5" s="40">
        <f>ABS(H5-I5)</f>
        <v>0.08375394321766638</v>
      </c>
      <c r="T5" s="37">
        <f>SUM(E5,F5)/P5</f>
        <v>17.29090909090909</v>
      </c>
      <c r="U5" s="37">
        <f>LOG10(E5+F5)*I5</f>
        <v>17.2433192302655</v>
      </c>
      <c r="V5" s="37">
        <f>(L5/P5)*100</f>
        <v>0</v>
      </c>
      <c r="W5" s="37">
        <f>(M5/P5)*100</f>
        <v>0</v>
      </c>
      <c r="X5" s="37">
        <f>(N5/P5)*100</f>
        <v>0</v>
      </c>
      <c r="Y5" s="37">
        <f>(O5/P5)*100</f>
        <v>0</v>
      </c>
      <c r="Z5" s="37">
        <f>E5/F5</f>
        <v>0.7204884667571235</v>
      </c>
      <c r="AA5" s="40">
        <f>(SUM(E5,F5)/(L5+0.1))/100</f>
        <v>380.4</v>
      </c>
      <c r="AB5" s="40">
        <f>(SUM(E5,F5)/(M5+0.1))/100</f>
        <v>380.4</v>
      </c>
      <c r="AC5" s="40">
        <f>(SUM(E5,F5)/(N5+0.1))/100</f>
        <v>380.4</v>
      </c>
      <c r="AD5" s="40">
        <f>(SUM(E5,F5)/(O5+0.1))/100</f>
        <v>380.4</v>
      </c>
    </row>
    <row r="6" ht="30.75">
      <c r="A6" s="34">
        <f>A5+1</f>
        <v>40</v>
      </c>
      <c r="B6" s="34" t="s">
        <v>103</v>
      </c>
      <c r="C6" s="35" t="s">
        <v>109</v>
      </c>
      <c r="D6" s="35" t="s">
        <v>105</v>
      </c>
      <c r="E6" s="12">
        <v>4975</v>
      </c>
      <c r="F6" s="39">
        <v>6541</v>
      </c>
      <c r="G6" s="12">
        <v>4.7</v>
      </c>
      <c r="H6" s="39">
        <v>4.9</v>
      </c>
      <c r="I6" s="12">
        <f>((G6*E6)+(H6*F6))/SUM(E6,F6)</f>
        <v>4.813598471691559</v>
      </c>
      <c r="J6" s="12">
        <v>1</v>
      </c>
      <c r="K6" s="39">
        <v>5</v>
      </c>
      <c r="L6" s="39">
        <v>0</v>
      </c>
      <c r="M6" s="39">
        <v>0</v>
      </c>
      <c r="N6" s="39">
        <v>0</v>
      </c>
      <c r="O6" s="12">
        <f>(L6*0.5)+(M6*0.4)+(N6*0.1)</f>
        <v>0</v>
      </c>
      <c r="P6" s="12">
        <v>908</v>
      </c>
      <c r="Q6" s="40">
        <f>ABS(G6-H6)</f>
        <v>0.20000000000000018</v>
      </c>
      <c r="R6" s="40">
        <f>ABS(G6-I6)</f>
        <v>0.11359847169155923</v>
      </c>
      <c r="S6" s="40">
        <f>ABS(H6-I6)</f>
        <v>0.08640152830844094</v>
      </c>
      <c r="T6" s="37">
        <f>SUM(E6,F6)/P6</f>
        <v>12.682819383259911</v>
      </c>
      <c r="U6" s="37">
        <f>LOG10(E6+F6)*I6</f>
        <v>19.549475445391813</v>
      </c>
      <c r="V6" s="37">
        <f>(L6/P6)*100</f>
        <v>0</v>
      </c>
      <c r="W6" s="37">
        <f>(M6/P6)*100</f>
        <v>0</v>
      </c>
      <c r="X6" s="37">
        <f>(N6/P6)*100</f>
        <v>0</v>
      </c>
      <c r="Y6" s="37">
        <f>(O6/P6)*100</f>
        <v>0</v>
      </c>
      <c r="Z6" s="37">
        <f>E6/F6</f>
        <v>0.7605870661978291</v>
      </c>
      <c r="AA6" s="40">
        <f>(SUM(E6,F6)/(L6+0.1))/100</f>
        <v>1151.6</v>
      </c>
      <c r="AB6" s="40">
        <f>(SUM(E6,F6)/(M6+0.1))/100</f>
        <v>1151.6</v>
      </c>
      <c r="AC6" s="40">
        <f>(SUM(E6,F6)/(N6+0.1))/100</f>
        <v>1151.6</v>
      </c>
      <c r="AD6" s="40">
        <f>(SUM(E6,F6)/(O6+0.1))/100</f>
        <v>1151.6</v>
      </c>
    </row>
    <row r="7">
      <c r="A7" s="34">
        <f>A6+1</f>
        <v>41</v>
      </c>
      <c r="B7" s="34" t="s">
        <v>103</v>
      </c>
      <c r="C7" s="35" t="s">
        <v>110</v>
      </c>
      <c r="D7" s="35" t="s">
        <v>105</v>
      </c>
      <c r="E7" s="12">
        <v>2753</v>
      </c>
      <c r="F7" s="39">
        <v>4410</v>
      </c>
      <c r="G7" s="12">
        <v>4.8</v>
      </c>
      <c r="H7" s="39">
        <v>4.9</v>
      </c>
      <c r="I7" s="12">
        <f>((G7*E7)+(H7*F7))/SUM(E7,F7)</f>
        <v>4.861566382800503</v>
      </c>
      <c r="J7" s="12">
        <v>1</v>
      </c>
      <c r="K7" s="12">
        <v>6</v>
      </c>
      <c r="L7" s="12">
        <v>13</v>
      </c>
      <c r="M7" s="12">
        <v>0</v>
      </c>
      <c r="N7" s="12">
        <v>0</v>
      </c>
      <c r="O7" s="12">
        <f>(L7*0.5)+(M7*0.4)+(N7*0.1)</f>
        <v>6.5</v>
      </c>
      <c r="P7" s="12">
        <v>1080</v>
      </c>
      <c r="Q7" s="37">
        <f>ABS(G7-H7)</f>
        <v>0.10000000000000053</v>
      </c>
      <c r="R7" s="37">
        <f>ABS(G7-I7)</f>
        <v>0.061566382800503305</v>
      </c>
      <c r="S7" s="37">
        <f>ABS(H7-I7)</f>
        <v>0.03843361719949723</v>
      </c>
      <c r="T7" s="37">
        <f>SUM(E7,F7)/P7</f>
        <v>6.632407407407407</v>
      </c>
      <c r="U7" s="37">
        <f>LOG10(E7+F7)*I7</f>
        <v>18.741800017056704</v>
      </c>
      <c r="V7" s="37">
        <f>(L7/P7)*100</f>
        <v>1.2037037037037037</v>
      </c>
      <c r="W7" s="37">
        <f>(M7/P7)*100</f>
        <v>0</v>
      </c>
      <c r="X7" s="37">
        <f>(N7/P7)*100</f>
        <v>0</v>
      </c>
      <c r="Y7" s="37">
        <f>(O7/P7)*100</f>
        <v>0.6018518518518519</v>
      </c>
      <c r="Z7" s="37">
        <f>E7/F7</f>
        <v>0.6242630385487529</v>
      </c>
      <c r="AA7" s="40">
        <f>(SUM(E7,F7)/(L7+0.1))/100</f>
        <v>5.46793893129771</v>
      </c>
      <c r="AB7" s="40">
        <f>(SUM(E7,F7)/(M7+0.1))/100</f>
        <v>716.3</v>
      </c>
      <c r="AC7" s="40">
        <f>(SUM(E7,F7)/(N7+0.1))/100</f>
        <v>716.3</v>
      </c>
      <c r="AD7" s="40">
        <f>(SUM(E7,F7)/(O7+0.1))/100</f>
        <v>10.853030303030302</v>
      </c>
    </row>
    <row r="8" ht="44.25">
      <c r="A8" s="34">
        <f>A7+1</f>
        <v>42</v>
      </c>
      <c r="B8" s="34" t="s">
        <v>103</v>
      </c>
      <c r="C8" s="35" t="s">
        <v>111</v>
      </c>
      <c r="D8" s="35" t="s">
        <v>105</v>
      </c>
      <c r="E8" s="12">
        <v>4594</v>
      </c>
      <c r="F8" s="39">
        <v>7390</v>
      </c>
      <c r="G8" s="12">
        <v>4.5</v>
      </c>
      <c r="H8" s="39">
        <v>4.9</v>
      </c>
      <c r="I8" s="12">
        <f>((G8*E8)+(H8*F8))/SUM(E8,F8)</f>
        <v>4.746662216288384</v>
      </c>
      <c r="J8" s="12">
        <v>1</v>
      </c>
      <c r="K8" s="39">
        <v>7</v>
      </c>
      <c r="L8" s="39">
        <v>0</v>
      </c>
      <c r="M8" s="39">
        <v>0</v>
      </c>
      <c r="N8" s="39">
        <v>0</v>
      </c>
      <c r="O8" s="12">
        <f>(L8*0.5)+(M8*0.4)+(N8*0.1)</f>
        <v>0</v>
      </c>
      <c r="P8" s="12">
        <v>446</v>
      </c>
      <c r="Q8" s="40">
        <f>ABS(G8-H8)</f>
        <v>0.40000000000000036</v>
      </c>
      <c r="R8" s="40">
        <f>ABS(G8-I8)</f>
        <v>0.24666221628838425</v>
      </c>
      <c r="S8" s="40">
        <f>ABS(H8-I8)</f>
        <v>0.1533377837116161</v>
      </c>
      <c r="T8" s="37">
        <f>SUM(E8,F8)/P8</f>
        <v>26.869955156950674</v>
      </c>
      <c r="U8" s="37">
        <f>LOG10(E8+F8)*I8</f>
        <v>19.35974506103272</v>
      </c>
      <c r="V8" s="37">
        <f>(L8/P8)*100</f>
        <v>0</v>
      </c>
      <c r="W8" s="37">
        <f>(M8/P8)*100</f>
        <v>0</v>
      </c>
      <c r="X8" s="37">
        <f>(N8/P8)*100</f>
        <v>0</v>
      </c>
      <c r="Y8" s="37">
        <f>(O8/P8)*100</f>
        <v>0</v>
      </c>
      <c r="Z8" s="37">
        <f>E8/F8</f>
        <v>0.6216508795669824</v>
      </c>
      <c r="AA8" s="40">
        <f>(SUM(E8,F8)/(L8+0.1))/100</f>
        <v>1198.4</v>
      </c>
      <c r="AB8" s="40">
        <f>(SUM(E8,F8)/(M8+0.1))/100</f>
        <v>1198.4</v>
      </c>
      <c r="AC8" s="40">
        <f>(SUM(E8,F8)/(N8+0.1))/100</f>
        <v>1198.4</v>
      </c>
      <c r="AD8" s="40">
        <f>(SUM(E8,F8)/(O8+0.1))/100</f>
        <v>1198.4</v>
      </c>
    </row>
    <row r="9" ht="30.75">
      <c r="A9" s="34">
        <f>A8+1</f>
        <v>43</v>
      </c>
      <c r="B9" s="34" t="s">
        <v>103</v>
      </c>
      <c r="C9" s="35" t="s">
        <v>112</v>
      </c>
      <c r="D9" s="35" t="s">
        <v>105</v>
      </c>
      <c r="E9" s="12">
        <v>3265</v>
      </c>
      <c r="F9" s="39">
        <v>643</v>
      </c>
      <c r="G9" s="12">
        <v>4.9</v>
      </c>
      <c r="H9" s="39">
        <v>4.9</v>
      </c>
      <c r="I9" s="12">
        <f>((G9*E9)+(H9*F9))/SUM(E9,F9)</f>
        <v>4.9</v>
      </c>
      <c r="J9" s="12">
        <v>1</v>
      </c>
      <c r="K9" s="39">
        <v>8</v>
      </c>
      <c r="L9" s="39">
        <v>0</v>
      </c>
      <c r="M9" s="39">
        <v>0</v>
      </c>
      <c r="N9" s="39">
        <v>0</v>
      </c>
      <c r="O9" s="12">
        <f>(L9*0.5)+(M9*0.4)+(N9*0.1)</f>
        <v>0</v>
      </c>
      <c r="P9" s="12">
        <v>679</v>
      </c>
      <c r="Q9" s="40">
        <f>ABS(G9-H9)</f>
        <v>0</v>
      </c>
      <c r="R9" s="40">
        <f>ABS(G9-I9)</f>
        <v>0</v>
      </c>
      <c r="S9" s="40">
        <f>ABS(H9-I9)</f>
        <v>0</v>
      </c>
      <c r="T9" s="37">
        <f>SUM(E9,F9)/P9</f>
        <v>5.755522827687776</v>
      </c>
      <c r="U9" s="37">
        <f>LOG10(E9+F9)*I9</f>
        <v>17.600577319729005</v>
      </c>
      <c r="V9" s="37">
        <f>(L9/P9)*100</f>
        <v>0</v>
      </c>
      <c r="W9" s="37">
        <f>(M9/P9)*100</f>
        <v>0</v>
      </c>
      <c r="X9" s="37">
        <f>(N9/P9)*100</f>
        <v>0</v>
      </c>
      <c r="Y9" s="37">
        <f>(O9/P9)*100</f>
        <v>0</v>
      </c>
      <c r="Z9" s="37">
        <f>E9/F9</f>
        <v>5.077760497667185</v>
      </c>
      <c r="AA9" s="40">
        <f>(SUM(E9,F9)/(L9+0.1))/100</f>
        <v>390.8</v>
      </c>
      <c r="AB9" s="40">
        <f>(SUM(E9,F9)/(M9+0.1))/100</f>
        <v>390.8</v>
      </c>
      <c r="AC9" s="40">
        <f>(SUM(E9,F9)/(N9+0.1))/100</f>
        <v>390.8</v>
      </c>
      <c r="AD9" s="40">
        <f>(SUM(E9,F9)/(O9+0.1))/100</f>
        <v>390.8</v>
      </c>
    </row>
    <row r="10">
      <c r="A10" s="34">
        <f>A9+1</f>
        <v>44</v>
      </c>
      <c r="B10" s="34" t="s">
        <v>103</v>
      </c>
      <c r="C10" s="35" t="s">
        <v>113</v>
      </c>
      <c r="D10" s="35" t="s">
        <v>105</v>
      </c>
      <c r="E10" s="12">
        <v>2291</v>
      </c>
      <c r="F10" s="39">
        <v>3715</v>
      </c>
      <c r="G10" s="12">
        <v>4.4</v>
      </c>
      <c r="H10" s="39">
        <v>4.9</v>
      </c>
      <c r="I10" s="12">
        <f>((G10*E10)+(H10*F10))/SUM(E10,F10)</f>
        <v>4.709274059274059</v>
      </c>
      <c r="J10" s="12">
        <v>1</v>
      </c>
      <c r="K10" s="39">
        <v>9</v>
      </c>
      <c r="L10" s="39">
        <v>50</v>
      </c>
      <c r="M10" s="39">
        <v>50</v>
      </c>
      <c r="N10" s="39">
        <v>50</v>
      </c>
      <c r="O10" s="12">
        <f>(L10*0.5)+(M10*0.4)+(N10*0.1)</f>
        <v>50</v>
      </c>
      <c r="P10" s="12">
        <v>1840</v>
      </c>
      <c r="Q10" s="40">
        <f>ABS(G10-H10)</f>
        <v>0.5</v>
      </c>
      <c r="R10" s="40">
        <f>ABS(G10-I10)</f>
        <v>0.3092740592740588</v>
      </c>
      <c r="S10" s="40">
        <f>ABS(H10-I10)</f>
        <v>0.19072594072594118</v>
      </c>
      <c r="T10" s="37">
        <f>SUM(E10,F10)/P10</f>
        <v>3.264130434782609</v>
      </c>
      <c r="U10" s="37">
        <f>LOG10(E10+F10)*I10</f>
        <v>17.794393865258613</v>
      </c>
      <c r="V10" s="37">
        <f>(L10/P10)*100</f>
        <v>2.717391304347826</v>
      </c>
      <c r="W10" s="37">
        <f>(M10/P10)*100</f>
        <v>2.717391304347826</v>
      </c>
      <c r="X10" s="37">
        <f>(N10/P10)*100</f>
        <v>2.717391304347826</v>
      </c>
      <c r="Y10" s="37">
        <f>(O10/P10)*100</f>
        <v>2.717391304347826</v>
      </c>
      <c r="Z10" s="37">
        <f>E10/F10</f>
        <v>0.6166890982503365</v>
      </c>
      <c r="AA10" s="40">
        <f>(SUM(E10,F10)/(L10+0.1))/100</f>
        <v>1.1988023952095808</v>
      </c>
      <c r="AB10" s="40">
        <f>(SUM(E10,F10)/(M10+0.1))/100</f>
        <v>1.1988023952095808</v>
      </c>
      <c r="AC10" s="40">
        <f>(SUM(E10,F10)/(N10+0.1))/100</f>
        <v>1.1988023952095808</v>
      </c>
      <c r="AD10" s="40">
        <f>(SUM(E10,F10)/(O10+0.1))/100</f>
        <v>1.1988023952095808</v>
      </c>
    </row>
    <row r="11">
      <c r="A11" s="34">
        <f>A10+1</f>
        <v>45</v>
      </c>
      <c r="B11" s="34" t="s">
        <v>103</v>
      </c>
      <c r="C11" s="35" t="s">
        <v>114</v>
      </c>
      <c r="D11" s="35" t="s">
        <v>105</v>
      </c>
      <c r="E11" s="12">
        <v>2599</v>
      </c>
      <c r="F11" s="39">
        <v>2311</v>
      </c>
      <c r="G11" s="12">
        <v>4.3</v>
      </c>
      <c r="H11" s="39">
        <v>4.8</v>
      </c>
      <c r="I11" s="12">
        <f>((G11*E11)+(H11*F11))/SUM(E11,F11)</f>
        <v>4.535336048879837</v>
      </c>
      <c r="J11" s="12">
        <v>1</v>
      </c>
      <c r="K11" s="39">
        <v>10</v>
      </c>
      <c r="L11" s="39">
        <v>100</v>
      </c>
      <c r="M11" s="39">
        <v>0</v>
      </c>
      <c r="N11" s="39">
        <v>16</v>
      </c>
      <c r="O11" s="12">
        <f>(L11*0.5)+(M11*0.4)+(N11*0.1)</f>
        <v>51.6</v>
      </c>
      <c r="P11" s="12">
        <v>1870</v>
      </c>
      <c r="Q11" s="40">
        <f>ABS(G11-H11)</f>
        <v>0.5</v>
      </c>
      <c r="R11" s="40">
        <f>ABS(G11-I11)</f>
        <v>0.23533604887983728</v>
      </c>
      <c r="S11" s="40">
        <f>ABS(H11-I11)</f>
        <v>0.2646639511201627</v>
      </c>
      <c r="T11" s="37">
        <f>SUM(E11,F11)/P11</f>
        <v>2.625668449197861</v>
      </c>
      <c r="U11" s="37">
        <f>LOG10(E11+F11)*I11</f>
        <v>16.740294950578477</v>
      </c>
      <c r="V11" s="37">
        <f>(L11/P11)*100</f>
        <v>5.347593582887701</v>
      </c>
      <c r="W11" s="37">
        <f>(M11/P11)*100</f>
        <v>0</v>
      </c>
      <c r="X11" s="37">
        <f>(N11/P11)*100</f>
        <v>0.8556149732620321</v>
      </c>
      <c r="Y11" s="37">
        <f>(O11/P11)*100</f>
        <v>2.759358288770054</v>
      </c>
      <c r="Z11" s="37">
        <f>E11/F11</f>
        <v>1.1246213760276937</v>
      </c>
      <c r="AA11" s="40">
        <f>(SUM(E11,F11)/(L11+0.1))/100</f>
        <v>0.4905094905094905</v>
      </c>
      <c r="AB11" s="40">
        <f>(SUM(E11,F11)/(M11+0.1))/100</f>
        <v>491</v>
      </c>
      <c r="AC11" s="40">
        <f>(SUM(E11,F11)/(N11+0.1))/100</f>
        <v>3.0496894409937885</v>
      </c>
      <c r="AD11" s="40">
        <f>(SUM(E11,F11)/(O11+0.1))/100</f>
        <v>0.9497098646034816</v>
      </c>
    </row>
    <row r="12" ht="30.75">
      <c r="A12" s="34">
        <f>A11+1</f>
        <v>46</v>
      </c>
      <c r="B12" s="34" t="s">
        <v>103</v>
      </c>
      <c r="C12" s="35" t="s">
        <v>115</v>
      </c>
      <c r="D12" s="35" t="s">
        <v>105</v>
      </c>
      <c r="E12" s="12">
        <v>967</v>
      </c>
      <c r="F12" s="39">
        <v>99</v>
      </c>
      <c r="G12" s="12">
        <v>4.9</v>
      </c>
      <c r="H12" s="39">
        <v>4.9</v>
      </c>
      <c r="I12" s="12">
        <f>((G12*E12)+(H12*F12))/SUM(E12,F12)</f>
        <v>4.9</v>
      </c>
      <c r="J12" s="12">
        <v>1</v>
      </c>
      <c r="K12" s="39">
        <v>12</v>
      </c>
      <c r="L12" s="39">
        <v>0</v>
      </c>
      <c r="M12" s="39">
        <v>0</v>
      </c>
      <c r="N12" s="39">
        <v>0</v>
      </c>
      <c r="O12" s="12">
        <f>(L12*0.5)+(M12*0.4)+(N12*0.1)</f>
        <v>0</v>
      </c>
      <c r="P12" s="12">
        <v>773</v>
      </c>
      <c r="Q12" s="40">
        <f>ABS(G12-H12)</f>
        <v>0</v>
      </c>
      <c r="R12" s="40">
        <f>ABS(G12-I12)</f>
        <v>0</v>
      </c>
      <c r="S12" s="40">
        <f>ABS(H12-I12)</f>
        <v>0</v>
      </c>
      <c r="T12" s="37">
        <f>SUM(E12,F12)/P12</f>
        <v>1.3790426908150064</v>
      </c>
      <c r="U12" s="37">
        <f>LOG10(E12+F12)*I12</f>
        <v>14.836010302983714</v>
      </c>
      <c r="V12" s="37">
        <f>(L12/P12)*100</f>
        <v>0</v>
      </c>
      <c r="W12" s="37">
        <f>(M12/P12)*100</f>
        <v>0</v>
      </c>
      <c r="X12" s="37">
        <f>(N12/P12)*100</f>
        <v>0</v>
      </c>
      <c r="Y12" s="37">
        <f>(O12/P12)*100</f>
        <v>0</v>
      </c>
      <c r="Z12" s="37">
        <f>E12/F12</f>
        <v>9.767676767676768</v>
      </c>
      <c r="AA12" s="40">
        <f>(SUM(E12,F12)/(L12+0.1))/100</f>
        <v>106.6</v>
      </c>
      <c r="AB12" s="40">
        <f>(SUM(E12,F12)/(M12+0.1))/100</f>
        <v>106.6</v>
      </c>
      <c r="AC12" s="40">
        <f>(SUM(E12,F12)/(N12+0.1))/100</f>
        <v>106.6</v>
      </c>
      <c r="AD12" s="40">
        <f>(SUM(E12,F12)/(O12+0.1))/100</f>
        <v>106.6</v>
      </c>
    </row>
    <row r="13" ht="30.75">
      <c r="A13" s="34">
        <f>A12+1</f>
        <v>47</v>
      </c>
      <c r="B13" s="34" t="s">
        <v>103</v>
      </c>
      <c r="C13" s="35" t="s">
        <v>116</v>
      </c>
      <c r="D13" s="35" t="s">
        <v>105</v>
      </c>
      <c r="E13" s="12">
        <v>437</v>
      </c>
      <c r="F13" s="39">
        <v>674</v>
      </c>
      <c r="G13" s="12">
        <v>4</v>
      </c>
      <c r="H13" s="39">
        <v>4.7</v>
      </c>
      <c r="I13" s="12">
        <f>((G13*E13)+(H13*F13))/SUM(E13,F13)</f>
        <v>4.424662466246625</v>
      </c>
      <c r="J13" s="12">
        <v>1</v>
      </c>
      <c r="K13" s="39">
        <v>13</v>
      </c>
      <c r="L13" s="39">
        <v>33</v>
      </c>
      <c r="M13" s="39">
        <v>0</v>
      </c>
      <c r="N13" s="39">
        <v>0</v>
      </c>
      <c r="O13" s="12">
        <f>(L13*0.5)+(M13*0.4)+(N13*0.1)</f>
        <v>16.5</v>
      </c>
      <c r="P13" s="12">
        <v>1750</v>
      </c>
      <c r="Q13" s="40">
        <f>ABS(G13-H13)</f>
        <v>0.7000000000000002</v>
      </c>
      <c r="R13" s="40">
        <f>ABS(G13-I13)</f>
        <v>0.42466246624662496</v>
      </c>
      <c r="S13" s="40">
        <f>ABS(H13-I13)</f>
        <v>0.2753375337533752</v>
      </c>
      <c r="T13" s="37">
        <f>SUM(E13,F13)/P13</f>
        <v>0.6348571428571429</v>
      </c>
      <c r="U13" s="37">
        <f>LOG10(E13+F13)*I13</f>
        <v>13.476256679515318</v>
      </c>
      <c r="V13" s="37">
        <f>(L13/P13)*100</f>
        <v>1.8857142857142857</v>
      </c>
      <c r="W13" s="37">
        <f>(M13/P13)*100</f>
        <v>0</v>
      </c>
      <c r="X13" s="37">
        <f>(N13/P13)*100</f>
        <v>0</v>
      </c>
      <c r="Y13" s="37">
        <f>(O13/P13)*100</f>
        <v>0.9428571428571428</v>
      </c>
      <c r="Z13" s="37">
        <f>E13/F13</f>
        <v>0.6483679525222552</v>
      </c>
      <c r="AA13" s="40">
        <f>(SUM(E13,F13)/(L13+0.1))/100</f>
        <v>0.3356495468277946</v>
      </c>
      <c r="AB13" s="40">
        <f>(SUM(E13,F13)/(M13+0.1))/100</f>
        <v>111.1</v>
      </c>
      <c r="AC13" s="40">
        <f>(SUM(E13,F13)/(N13+0.1))/100</f>
        <v>111.1</v>
      </c>
      <c r="AD13" s="40">
        <f>(SUM(E13,F13)/(O13+0.1))/100</f>
        <v>0.6692771084337349</v>
      </c>
    </row>
    <row r="14" ht="44.25">
      <c r="A14" s="34">
        <f>A13+1</f>
        <v>48</v>
      </c>
      <c r="B14" s="34" t="s">
        <v>103</v>
      </c>
      <c r="C14" s="35" t="s">
        <v>117</v>
      </c>
      <c r="D14" s="35" t="s">
        <v>105</v>
      </c>
      <c r="E14" s="12">
        <v>5845</v>
      </c>
      <c r="F14" s="39">
        <v>1658</v>
      </c>
      <c r="G14" s="12">
        <v>4.8</v>
      </c>
      <c r="H14" s="39">
        <v>4.8</v>
      </c>
      <c r="I14" s="12">
        <f>((G14*E14)+(H14*F14))/SUM(E14,F14)</f>
        <v>4.8</v>
      </c>
      <c r="J14" s="12">
        <v>1</v>
      </c>
      <c r="K14" s="39">
        <v>14</v>
      </c>
      <c r="L14" s="39">
        <v>50</v>
      </c>
      <c r="M14" s="39">
        <v>0</v>
      </c>
      <c r="N14" s="39">
        <v>0</v>
      </c>
      <c r="O14" s="12">
        <f>(L14*0.5)+(M14*0.4)+(N14*0.1)</f>
        <v>25</v>
      </c>
      <c r="P14" s="12">
        <v>910</v>
      </c>
      <c r="Q14" s="40">
        <f>ABS(G14-H14)</f>
        <v>0</v>
      </c>
      <c r="R14" s="40">
        <f>ABS(G14-I14)</f>
        <v>0</v>
      </c>
      <c r="S14" s="40">
        <f>ABS(H14-I14)</f>
        <v>0</v>
      </c>
      <c r="T14" s="37">
        <f>SUM(E14,F14)/P14</f>
        <v>8.245054945054944</v>
      </c>
      <c r="U14" s="37">
        <f>LOG10(E14+F14)*I14</f>
        <v>18.60112774296079</v>
      </c>
      <c r="V14" s="37">
        <f>(L14/P14)*100</f>
        <v>5.4945054945054945</v>
      </c>
      <c r="W14" s="37">
        <f>(M14/P14)*100</f>
        <v>0</v>
      </c>
      <c r="X14" s="37">
        <f>(N14/P14)*100</f>
        <v>0</v>
      </c>
      <c r="Y14" s="37">
        <f>(O14/P14)*100</f>
        <v>2.7472527472527473</v>
      </c>
      <c r="Z14" s="37">
        <f>E14/F14</f>
        <v>3.5253317249698433</v>
      </c>
      <c r="AA14" s="40">
        <f>(SUM(E14,F14)/(L14+0.1))/100</f>
        <v>1.4976047904191616</v>
      </c>
      <c r="AB14" s="40">
        <f>(SUM(E14,F14)/(M14+0.1))/100</f>
        <v>750.3</v>
      </c>
      <c r="AC14" s="40">
        <f>(SUM(E14,F14)/(N14+0.1))/100</f>
        <v>750.3</v>
      </c>
      <c r="AD14" s="40">
        <f>(SUM(E14,F14)/(O14+0.1))/100</f>
        <v>2.9892430278884463</v>
      </c>
    </row>
    <row r="15">
      <c r="A15" s="34">
        <f>A14+1</f>
        <v>49</v>
      </c>
      <c r="B15" s="34" t="s">
        <v>103</v>
      </c>
      <c r="C15" s="35" t="s">
        <v>118</v>
      </c>
      <c r="D15" s="35" t="s">
        <v>105</v>
      </c>
      <c r="E15" s="12">
        <v>1871</v>
      </c>
      <c r="F15" s="39">
        <v>291</v>
      </c>
      <c r="G15" s="12">
        <v>4.7</v>
      </c>
      <c r="H15" s="39">
        <v>4.9</v>
      </c>
      <c r="I15" s="12">
        <f>((G15*E15)+(H15*F15))/SUM(E15,F15)</f>
        <v>4.726919518963922</v>
      </c>
      <c r="J15" s="12">
        <v>1</v>
      </c>
      <c r="K15" s="39">
        <v>16</v>
      </c>
      <c r="L15" s="39">
        <v>8</v>
      </c>
      <c r="M15" s="39">
        <v>33</v>
      </c>
      <c r="N15" s="39">
        <v>33</v>
      </c>
      <c r="O15" s="12">
        <f>(L15*0.5)+(M15*0.4)+(N15*0.1)</f>
        <v>20.500000000000004</v>
      </c>
      <c r="P15" s="12">
        <v>4440</v>
      </c>
      <c r="Q15" s="40">
        <f>ABS(G15-H15)</f>
        <v>0.20000000000000018</v>
      </c>
      <c r="R15" s="40">
        <f>ABS(G15-I15)</f>
        <v>0.026919518963921973</v>
      </c>
      <c r="S15" s="40">
        <f>ABS(H15-I15)</f>
        <v>0.1730804810360782</v>
      </c>
      <c r="T15" s="37">
        <f>SUM(E15,F15)/P15</f>
        <v>0.48693693693693696</v>
      </c>
      <c r="U15" s="37">
        <f>LOG10(E15+F15)*I15</f>
        <v>15.763594452179866</v>
      </c>
      <c r="V15" s="37">
        <f>(L15/P15)*100</f>
        <v>0.18018018018018017</v>
      </c>
      <c r="W15" s="37">
        <f>(M15/P15)*100</f>
        <v>0.7432432432432433</v>
      </c>
      <c r="X15" s="37">
        <f>(N15/P15)*100</f>
        <v>0.7432432432432433</v>
      </c>
      <c r="Y15" s="37">
        <f>(O15/P15)*100</f>
        <v>0.46171171171171177</v>
      </c>
      <c r="Z15" s="37">
        <f>E15/F15</f>
        <v>6.429553264604811</v>
      </c>
      <c r="AA15" s="40">
        <f>(SUM(E15,F15)/(L15+0.1))/100</f>
        <v>2.669135802469136</v>
      </c>
      <c r="AB15" s="40">
        <f>(SUM(E15,F15)/(M15+0.1))/100</f>
        <v>0.6531722054380664</v>
      </c>
      <c r="AC15" s="40">
        <f>(SUM(E15,F15)/(N15+0.1))/100</f>
        <v>0.6531722054380664</v>
      </c>
      <c r="AD15" s="40">
        <f>(SUM(E15,F15)/(O15+0.1))/100</f>
        <v>1.049514563106796</v>
      </c>
    </row>
    <row r="16">
      <c r="A16" s="34">
        <f>A15+1</f>
        <v>50</v>
      </c>
      <c r="B16" s="34" t="s">
        <v>103</v>
      </c>
      <c r="C16" s="35" t="s">
        <v>119</v>
      </c>
      <c r="D16" s="35" t="s">
        <v>105</v>
      </c>
      <c r="E16" s="12">
        <v>2593</v>
      </c>
      <c r="F16" s="39">
        <v>940</v>
      </c>
      <c r="G16" s="12">
        <v>4.7</v>
      </c>
      <c r="H16" s="39">
        <v>4.8</v>
      </c>
      <c r="I16" s="12">
        <f>((G16*E16)+(H16*F16))/SUM(E16,F16)</f>
        <v>4.726606283611661</v>
      </c>
      <c r="J16" s="12">
        <v>1</v>
      </c>
      <c r="K16" s="39">
        <v>17</v>
      </c>
      <c r="L16" s="39">
        <v>100</v>
      </c>
      <c r="M16" s="39">
        <v>25</v>
      </c>
      <c r="N16" s="39">
        <v>16</v>
      </c>
      <c r="O16" s="12">
        <f>(L16*0.5)+(M16*0.4)+(N16*0.1)</f>
        <v>61.6</v>
      </c>
      <c r="P16" s="12">
        <v>900</v>
      </c>
      <c r="Q16" s="40">
        <f>ABS(G16-H16)</f>
        <v>0.09999999999999964</v>
      </c>
      <c r="R16" s="40">
        <f>ABS(G16-I16)</f>
        <v>0.02660628361166051</v>
      </c>
      <c r="S16" s="40">
        <f>ABS(H16-I16)</f>
        <v>0.07339371638833914</v>
      </c>
      <c r="T16" s="37">
        <f>SUM(E16,F16)/P16</f>
        <v>3.9255555555555555</v>
      </c>
      <c r="U16" s="37">
        <f>LOG10(E16+F16)*I16</f>
        <v>16.770678011856273</v>
      </c>
      <c r="V16" s="37">
        <f>(L16/P16)*100</f>
        <v>11.11111111111111</v>
      </c>
      <c r="W16" s="37">
        <f>(M16/P16)*100</f>
        <v>2.7777777777777777</v>
      </c>
      <c r="X16" s="37">
        <f>(N16/P16)*100</f>
        <v>1.7777777777777777</v>
      </c>
      <c r="Y16" s="37">
        <f>(O16/P16)*100</f>
        <v>6.844444444444445</v>
      </c>
      <c r="Z16" s="37">
        <f>E16/F16</f>
        <v>2.758510638297872</v>
      </c>
      <c r="AA16" s="40">
        <f>(SUM(E16,F16)/(L16+0.1))/100</f>
        <v>0.352947052947053</v>
      </c>
      <c r="AB16" s="40">
        <f>(SUM(E16,F16)/(M16+0.1))/100</f>
        <v>1.4075697211155378</v>
      </c>
      <c r="AC16" s="40">
        <f>(SUM(E16,F16)/(N16+0.1))/100</f>
        <v>2.1944099378881985</v>
      </c>
      <c r="AD16" s="40">
        <f>(SUM(E16,F16)/(O16+0.1))/100</f>
        <v>0.5726094003241491</v>
      </c>
    </row>
    <row r="17">
      <c r="A17" s="34">
        <f>A16+1</f>
        <v>51</v>
      </c>
      <c r="B17" s="34" t="s">
        <v>103</v>
      </c>
      <c r="C17" s="35" t="s">
        <v>120</v>
      </c>
      <c r="D17" s="35" t="s">
        <v>105</v>
      </c>
      <c r="E17" s="12">
        <v>3445</v>
      </c>
      <c r="F17" s="39">
        <v>722</v>
      </c>
      <c r="G17" s="12">
        <v>4.8</v>
      </c>
      <c r="H17" s="39">
        <v>4.9</v>
      </c>
      <c r="I17" s="12">
        <f>((G17*E17)+(H17*F17))/SUM(E17,F17)</f>
        <v>4.817326613870891</v>
      </c>
      <c r="J17" s="12">
        <v>1</v>
      </c>
      <c r="K17" s="39">
        <v>18</v>
      </c>
      <c r="L17" s="39">
        <v>0</v>
      </c>
      <c r="M17" s="39">
        <v>0</v>
      </c>
      <c r="N17" s="39">
        <v>0</v>
      </c>
      <c r="O17" s="12">
        <f>(L17*0.5)+(M17*0.4)+(N17*0.1)</f>
        <v>0</v>
      </c>
      <c r="P17" s="12">
        <v>526</v>
      </c>
      <c r="Q17" s="40">
        <f>ABS(G17-H17)</f>
        <v>0.10000000000000053</v>
      </c>
      <c r="R17" s="40">
        <f>ABS(G17-I17)</f>
        <v>0.01732661387089074</v>
      </c>
      <c r="S17" s="40">
        <f>ABS(H17-I17)</f>
        <v>0.0826733861291098</v>
      </c>
      <c r="T17" s="37">
        <f>SUM(E17,F17)/P17</f>
        <v>7.922053231939164</v>
      </c>
      <c r="U17" s="37">
        <f>LOG10(E17+F17)*I17</f>
        <v>17.437872086268133</v>
      </c>
      <c r="V17" s="37">
        <f>(L17/P17)*100</f>
        <v>0</v>
      </c>
      <c r="W17" s="37">
        <f>(M17/P17)*100</f>
        <v>0</v>
      </c>
      <c r="X17" s="37">
        <f>(N17/P17)*100</f>
        <v>0</v>
      </c>
      <c r="Y17" s="37">
        <f>(O17/P17)*100</f>
        <v>0</v>
      </c>
      <c r="Z17" s="37">
        <f>E17/F17</f>
        <v>4.771468144044321</v>
      </c>
      <c r="AA17" s="40">
        <f>(SUM(E17,F17)/(L17+0.1))/100</f>
        <v>416.7</v>
      </c>
      <c r="AB17" s="40">
        <f>(SUM(E17,F17)/(M17+0.1))/100</f>
        <v>416.7</v>
      </c>
      <c r="AC17" s="40">
        <f>(SUM(E17,F17)/(N17+0.1))/100</f>
        <v>416.7</v>
      </c>
      <c r="AD17" s="40">
        <f>(SUM(E17,F17)/(O17+0.1))/100</f>
        <v>416.7</v>
      </c>
    </row>
    <row r="18" ht="30.75">
      <c r="A18" s="34">
        <f>A17+1</f>
        <v>52</v>
      </c>
      <c r="B18" s="34" t="s">
        <v>103</v>
      </c>
      <c r="C18" s="35" t="s">
        <v>121</v>
      </c>
      <c r="D18" s="35" t="s">
        <v>105</v>
      </c>
      <c r="E18" s="12">
        <v>2227</v>
      </c>
      <c r="F18" s="39">
        <v>1602</v>
      </c>
      <c r="G18" s="12">
        <v>4.4</v>
      </c>
      <c r="H18" s="39">
        <v>4.7</v>
      </c>
      <c r="I18" s="12">
        <f>((G18*E18)+(H18*F18))/SUM(E18,F18)</f>
        <v>4.525515800470097</v>
      </c>
      <c r="J18" s="12">
        <v>1</v>
      </c>
      <c r="K18" s="39">
        <v>19</v>
      </c>
      <c r="L18" s="39">
        <v>108</v>
      </c>
      <c r="M18" s="39">
        <v>25</v>
      </c>
      <c r="N18" s="39">
        <v>16</v>
      </c>
      <c r="O18" s="12">
        <f>(L18*0.5)+(M18*0.4)+(N18*0.1)</f>
        <v>65.6</v>
      </c>
      <c r="P18" s="12">
        <v>2580</v>
      </c>
      <c r="Q18" s="40">
        <f>ABS(G18-H18)</f>
        <v>0.2999999999999998</v>
      </c>
      <c r="R18" s="40">
        <f>ABS(G18-I18)</f>
        <v>0.12551580047009647</v>
      </c>
      <c r="S18" s="40">
        <f>ABS(H18-I18)</f>
        <v>0.17448419952990335</v>
      </c>
      <c r="T18" s="37">
        <f>SUM(E18,F18)/P18</f>
        <v>1.4841085271317829</v>
      </c>
      <c r="U18" s="37">
        <f>LOG10(E18+F18)*I18</f>
        <v>16.215309439839647</v>
      </c>
      <c r="V18" s="37">
        <f>(L18/P18)*100</f>
        <v>4.186046511627907</v>
      </c>
      <c r="W18" s="37">
        <f>(M18/P18)*100</f>
        <v>0.9689922480620154</v>
      </c>
      <c r="X18" s="37">
        <f>(N18/P18)*100</f>
        <v>0.6201550387596899</v>
      </c>
      <c r="Y18" s="37">
        <f>(O18/P18)*100</f>
        <v>2.5426356589147283</v>
      </c>
      <c r="Z18" s="37">
        <f>E18/F18</f>
        <v>1.3901373283395755</v>
      </c>
      <c r="AA18" s="40">
        <f>(SUM(E18,F18)/(L18+0.1))/100</f>
        <v>0.35420906567992605</v>
      </c>
      <c r="AB18" s="40">
        <f>(SUM(E18,F18)/(M18+0.1))/100</f>
        <v>1.5254980079681275</v>
      </c>
      <c r="AC18" s="40">
        <f>(SUM(E18,F18)/(N18+0.1))/100</f>
        <v>2.378260869565217</v>
      </c>
      <c r="AD18" s="40">
        <f>(SUM(E18,F18)/(O18+0.1))/100</f>
        <v>0.5828006088280062</v>
      </c>
    </row>
    <row r="19" ht="30.75">
      <c r="A19" s="34">
        <f>A18+1</f>
        <v>53</v>
      </c>
      <c r="B19" s="34" t="s">
        <v>103</v>
      </c>
      <c r="C19" s="35" t="s">
        <v>122</v>
      </c>
      <c r="D19" s="35" t="s">
        <v>105</v>
      </c>
      <c r="E19" s="12">
        <v>1849</v>
      </c>
      <c r="F19" s="39">
        <v>382</v>
      </c>
      <c r="G19" s="12">
        <v>4.8</v>
      </c>
      <c r="H19" s="39">
        <v>4.9</v>
      </c>
      <c r="I19" s="12">
        <f>((G19*E19)+(H19*F19))/SUM(E19,F19)</f>
        <v>4.817122366651725</v>
      </c>
      <c r="J19" s="12">
        <v>1</v>
      </c>
      <c r="K19" s="39">
        <v>20</v>
      </c>
      <c r="L19" s="39">
        <v>0</v>
      </c>
      <c r="M19" s="39">
        <v>0</v>
      </c>
      <c r="N19" s="39">
        <v>0</v>
      </c>
      <c r="O19" s="12">
        <f>(L19*0.5)+(M19*0.4)+(N19*0.1)</f>
        <v>0</v>
      </c>
      <c r="P19" s="12">
        <v>244</v>
      </c>
      <c r="Q19" s="40">
        <f>ABS(G19-H19)</f>
        <v>0.10000000000000053</v>
      </c>
      <c r="R19" s="40">
        <f>ABS(G19-I19)</f>
        <v>0.017122366651725507</v>
      </c>
      <c r="S19" s="40">
        <f>ABS(H19-I19)</f>
        <v>0.08287763334827503</v>
      </c>
      <c r="T19" s="37">
        <f>SUM(E19,F19)/P19</f>
        <v>9.14344262295082</v>
      </c>
      <c r="U19" s="37">
        <f>LOG10(E19+F19)*I19</f>
        <v>16.130132174737966</v>
      </c>
      <c r="V19" s="37">
        <f>(L19/P19)*100</f>
        <v>0</v>
      </c>
      <c r="W19" s="37">
        <f>(M19/P19)*100</f>
        <v>0</v>
      </c>
      <c r="X19" s="37">
        <f>(N19/P19)*100</f>
        <v>0</v>
      </c>
      <c r="Y19" s="37">
        <f>(O19/P19)*100</f>
        <v>0</v>
      </c>
      <c r="Z19" s="37">
        <f>E19/F19</f>
        <v>4.840314136125654</v>
      </c>
      <c r="AA19" s="40">
        <f>(SUM(E19,F19)/(L19+0.1))/100</f>
        <v>223.1</v>
      </c>
      <c r="AB19" s="40">
        <f>(SUM(E19,F19)/(M19+0.1))/100</f>
        <v>223.1</v>
      </c>
      <c r="AC19" s="40">
        <f>(SUM(E19,F19)/(N19+0.1))/100</f>
        <v>223.1</v>
      </c>
      <c r="AD19" s="40">
        <f>(SUM(E19,F19)/(O19+0.1))/100</f>
        <v>223.1</v>
      </c>
    </row>
    <row r="20" ht="30.75">
      <c r="A20" s="34">
        <f>A19+1</f>
        <v>54</v>
      </c>
      <c r="B20" s="34" t="s">
        <v>103</v>
      </c>
      <c r="C20" s="35" t="s">
        <v>123</v>
      </c>
      <c r="D20" s="35" t="s">
        <v>105</v>
      </c>
      <c r="E20" s="12">
        <v>4816</v>
      </c>
      <c r="F20" s="39">
        <v>874</v>
      </c>
      <c r="G20" s="12">
        <v>4.8</v>
      </c>
      <c r="H20" s="39">
        <v>4.8</v>
      </c>
      <c r="I20" s="12">
        <f>((G20*E20)+(H20*F20))/SUM(E20,F20)</f>
        <v>4.8</v>
      </c>
      <c r="J20" s="12">
        <v>1</v>
      </c>
      <c r="K20" s="39">
        <v>21</v>
      </c>
      <c r="L20" s="39">
        <v>0</v>
      </c>
      <c r="M20" s="39">
        <v>0</v>
      </c>
      <c r="N20" s="39">
        <v>0</v>
      </c>
      <c r="O20" s="12">
        <f>(L20*0.5)+(M20*0.4)+(N20*0.1)</f>
        <v>0</v>
      </c>
      <c r="P20" s="12">
        <v>1940</v>
      </c>
      <c r="Q20" s="40">
        <f>ABS(G20-H20)</f>
        <v>0</v>
      </c>
      <c r="R20" s="40">
        <f>ABS(G20-I20)</f>
        <v>0</v>
      </c>
      <c r="S20" s="40">
        <f>ABS(H20-I20)</f>
        <v>0</v>
      </c>
      <c r="T20" s="37">
        <f>SUM(E20,F20)/P20</f>
        <v>2.9329896907216493</v>
      </c>
      <c r="U20" s="37">
        <f>LOG10(E20+F20)*I20</f>
        <v>18.02453887869634</v>
      </c>
      <c r="V20" s="37">
        <f>(L20/P20)*100</f>
        <v>0</v>
      </c>
      <c r="W20" s="37">
        <f>(M20/P20)*100</f>
        <v>0</v>
      </c>
      <c r="X20" s="37">
        <f>(N20/P20)*100</f>
        <v>0</v>
      </c>
      <c r="Y20" s="37">
        <f>(O20/P20)*100</f>
        <v>0</v>
      </c>
      <c r="Z20" s="37">
        <f>E20/F20</f>
        <v>5.510297482837529</v>
      </c>
      <c r="AA20" s="40">
        <f>(SUM(E20,F20)/(L20+0.1))/100</f>
        <v>569</v>
      </c>
      <c r="AB20" s="40">
        <f>(SUM(E20,F20)/(M20+0.1))/100</f>
        <v>569</v>
      </c>
      <c r="AC20" s="40">
        <f>(SUM(E20,F20)/(N20+0.1))/100</f>
        <v>569</v>
      </c>
      <c r="AD20" s="40">
        <f>(SUM(E20,F20)/(O20+0.1))/100</f>
        <v>569</v>
      </c>
    </row>
    <row r="21" ht="30.75">
      <c r="A21" s="34">
        <f>A20+1</f>
        <v>55</v>
      </c>
      <c r="B21" s="34" t="s">
        <v>103</v>
      </c>
      <c r="C21" s="35" t="s">
        <v>124</v>
      </c>
      <c r="D21" s="35" t="s">
        <v>105</v>
      </c>
      <c r="E21" s="12">
        <v>4721</v>
      </c>
      <c r="F21" s="39">
        <v>418</v>
      </c>
      <c r="G21" s="12">
        <v>4.7</v>
      </c>
      <c r="H21" s="39">
        <v>4.8</v>
      </c>
      <c r="I21" s="12">
        <f>((G21*E21)+(H21*F21))/SUM(E21,F21)</f>
        <v>4.708133878186418</v>
      </c>
      <c r="J21" s="12">
        <v>1</v>
      </c>
      <c r="K21" s="39">
        <v>22</v>
      </c>
      <c r="L21" s="39">
        <v>0</v>
      </c>
      <c r="M21" s="39">
        <v>0</v>
      </c>
      <c r="N21" s="39">
        <v>0</v>
      </c>
      <c r="O21" s="12">
        <f>(L21*0.5)+(M21*0.4)+(N21*0.1)</f>
        <v>0</v>
      </c>
      <c r="P21" s="12">
        <v>4680</v>
      </c>
      <c r="Q21" s="40">
        <f>ABS(G21-H21)</f>
        <v>0.09999999999999964</v>
      </c>
      <c r="R21" s="40">
        <f>ABS(G21-I21)</f>
        <v>0.008133878186417753</v>
      </c>
      <c r="S21" s="40">
        <f>ABS(H21-I21)</f>
        <v>0.09186612181358189</v>
      </c>
      <c r="T21" s="37">
        <f>SUM(E21,F21)/P21</f>
        <v>1.0980769230769232</v>
      </c>
      <c r="U21" s="37">
        <f>LOG10(E21+F21)*I21</f>
        <v>17.471313337761146</v>
      </c>
      <c r="V21" s="37">
        <f>(L21/P21)*100</f>
        <v>0</v>
      </c>
      <c r="W21" s="37">
        <f>(M21/P21)*100</f>
        <v>0</v>
      </c>
      <c r="X21" s="37">
        <f>(N21/P21)*100</f>
        <v>0</v>
      </c>
      <c r="Y21" s="37">
        <f>(O21/P21)*100</f>
        <v>0</v>
      </c>
      <c r="Z21" s="37">
        <f>E21/F21</f>
        <v>11.294258373205741</v>
      </c>
      <c r="AA21" s="40">
        <f>(SUM(E21,F21)/(L21+0.1))/100</f>
        <v>513.9</v>
      </c>
      <c r="AB21" s="40">
        <f>(SUM(E21,F21)/(M21+0.1))/100</f>
        <v>513.9</v>
      </c>
      <c r="AC21" s="40">
        <f>(SUM(E21,F21)/(N21+0.1))/100</f>
        <v>513.9</v>
      </c>
      <c r="AD21" s="40">
        <f>(SUM(E21,F21)/(O21+0.1))/100</f>
        <v>513.9</v>
      </c>
    </row>
    <row r="22" ht="30.75">
      <c r="A22" s="34">
        <f>A21+1</f>
        <v>56</v>
      </c>
      <c r="B22" s="34" t="s">
        <v>103</v>
      </c>
      <c r="C22" s="35" t="s">
        <v>125</v>
      </c>
      <c r="D22" s="35" t="s">
        <v>105</v>
      </c>
      <c r="E22" s="13">
        <v>1750</v>
      </c>
      <c r="F22" s="39">
        <v>2399</v>
      </c>
      <c r="G22" s="13">
        <v>4.3</v>
      </c>
      <c r="H22" s="39">
        <v>4.7</v>
      </c>
      <c r="I22" s="12">
        <f>((G22*E22)+(H22*F22))/SUM(E22,F22)</f>
        <v>4.5312846469028685</v>
      </c>
      <c r="J22" s="12">
        <v>1</v>
      </c>
      <c r="K22" s="39">
        <v>23</v>
      </c>
      <c r="L22" s="39">
        <v>0</v>
      </c>
      <c r="M22" s="39">
        <v>0</v>
      </c>
      <c r="N22" s="39">
        <v>0</v>
      </c>
      <c r="O22" s="12">
        <f>(L22*0.5)+(M22*0.4)+(N22*0.1)</f>
        <v>0</v>
      </c>
      <c r="P22" s="12">
        <v>227</v>
      </c>
      <c r="Q22" s="40">
        <f>ABS(G22-H22)</f>
        <v>0.40000000000000036</v>
      </c>
      <c r="R22" s="40">
        <f>ABS(G22-I22)</f>
        <v>0.23128464690286865</v>
      </c>
      <c r="S22" s="40">
        <f>ABS(H22-I22)</f>
        <v>0.1687153530971317</v>
      </c>
      <c r="T22" s="37">
        <f>SUM(E22,F22)/P22</f>
        <v>18.277533039647576</v>
      </c>
      <c r="U22" s="37">
        <f>LOG10(E22+F22)*I22</f>
        <v>16.393931539603553</v>
      </c>
      <c r="V22" s="37">
        <f>(L22/P22)*100</f>
        <v>0</v>
      </c>
      <c r="W22" s="37">
        <f>(M22/P22)*100</f>
        <v>0</v>
      </c>
      <c r="X22" s="37">
        <f>(N22/P22)*100</f>
        <v>0</v>
      </c>
      <c r="Y22" s="37">
        <f>(O22/P22)*100</f>
        <v>0</v>
      </c>
      <c r="Z22" s="37">
        <f>E22/F22</f>
        <v>0.7294706127553147</v>
      </c>
      <c r="AA22" s="40">
        <f>(SUM(E22,F22)/(L22+0.1))/100</f>
        <v>414.9</v>
      </c>
      <c r="AB22" s="40">
        <f>(SUM(E22,F22)/(M22+0.1))/100</f>
        <v>414.9</v>
      </c>
      <c r="AC22" s="40">
        <f>(SUM(E22,F22)/(N22+0.1))/100</f>
        <v>414.9</v>
      </c>
      <c r="AD22" s="40">
        <f>(SUM(E22,F22)/(O22+0.1))/100</f>
        <v>414.9</v>
      </c>
    </row>
    <row r="23" ht="30.75">
      <c r="A23" s="34">
        <f>A22+1</f>
        <v>57</v>
      </c>
      <c r="B23" s="34" t="s">
        <v>103</v>
      </c>
      <c r="C23" s="35" t="s">
        <v>126</v>
      </c>
      <c r="D23" s="35" t="s">
        <v>105</v>
      </c>
      <c r="E23" s="12">
        <v>1151</v>
      </c>
      <c r="F23" s="39">
        <v>211</v>
      </c>
      <c r="G23" s="12">
        <v>4.8</v>
      </c>
      <c r="H23" s="39">
        <v>4.8</v>
      </c>
      <c r="I23" s="12">
        <f>((G23*E23)+(H23*F23))/SUM(E23,F23)</f>
        <v>4.800000000000001</v>
      </c>
      <c r="J23" s="12">
        <v>1</v>
      </c>
      <c r="K23" s="39">
        <v>25</v>
      </c>
      <c r="L23" s="39">
        <v>0</v>
      </c>
      <c r="M23" s="39">
        <v>0</v>
      </c>
      <c r="N23" s="39">
        <v>0</v>
      </c>
      <c r="O23" s="12">
        <f>(L23*0.5)+(M23*0.4)+(N23*0.1)</f>
        <v>0</v>
      </c>
      <c r="P23" s="12">
        <v>1500</v>
      </c>
      <c r="Q23" s="40">
        <f>ABS(G23-H23)</f>
        <v>0</v>
      </c>
      <c r="R23" s="40">
        <f>ABS(G23-I23)</f>
        <v>8.881784197001252E-16</v>
      </c>
      <c r="S23" s="40">
        <f>ABS(H23-I23)</f>
        <v>8.881784197001252E-16</v>
      </c>
      <c r="T23" s="37">
        <f>SUM(E23,F23)/P23</f>
        <v>0.908</v>
      </c>
      <c r="U23" s="37">
        <f>LOG10(E23+F23)*I23</f>
        <v>15.044050116368481</v>
      </c>
      <c r="V23" s="37">
        <f>(L23/P23)*100</f>
        <v>0</v>
      </c>
      <c r="W23" s="37">
        <f>(M23/P23)*100</f>
        <v>0</v>
      </c>
      <c r="X23" s="37">
        <f>(N23/P23)*100</f>
        <v>0</v>
      </c>
      <c r="Y23" s="37">
        <f>(O23/P23)*100</f>
        <v>0</v>
      </c>
      <c r="Z23" s="37">
        <f>E23/F23</f>
        <v>5.454976303317536</v>
      </c>
      <c r="AA23" s="40">
        <f>(SUM(E23,F23)/(L23+0.1))/100</f>
        <v>136.2</v>
      </c>
      <c r="AB23" s="40">
        <f>(SUM(E23,F23)/(M23+0.1))/100</f>
        <v>136.2</v>
      </c>
      <c r="AC23" s="40">
        <f>(SUM(E23,F23)/(N23+0.1))/100</f>
        <v>136.2</v>
      </c>
      <c r="AD23" s="40">
        <f>(SUM(E23,F23)/(O23+0.1))/100</f>
        <v>136.2</v>
      </c>
    </row>
    <row r="24">
      <c r="A24" s="34">
        <f>A23+1</f>
        <v>58</v>
      </c>
      <c r="B24" s="34" t="s">
        <v>103</v>
      </c>
      <c r="C24" s="35" t="s">
        <v>127</v>
      </c>
      <c r="D24" s="35" t="s">
        <v>105</v>
      </c>
      <c r="E24" s="12">
        <v>807</v>
      </c>
      <c r="F24" s="39">
        <v>891</v>
      </c>
      <c r="G24" s="12">
        <v>4.7</v>
      </c>
      <c r="H24" s="39">
        <v>4.9</v>
      </c>
      <c r="I24" s="12">
        <f>((G24*E24)+(H24*F24))/SUM(E24,F24)</f>
        <v>4.804946996466431</v>
      </c>
      <c r="J24" s="12">
        <v>1</v>
      </c>
      <c r="K24" s="39">
        <v>26</v>
      </c>
      <c r="L24" s="39">
        <v>0</v>
      </c>
      <c r="M24" s="39">
        <v>16</v>
      </c>
      <c r="N24" s="39">
        <v>0</v>
      </c>
      <c r="O24" s="12">
        <f>(L24*0.5)+(M24*0.4)+(N24*0.1)</f>
        <v>6.4</v>
      </c>
      <c r="P24" s="12">
        <v>869</v>
      </c>
      <c r="Q24" s="40">
        <f>ABS(G24-H24)</f>
        <v>0.20000000000000018</v>
      </c>
      <c r="R24" s="40">
        <f>ABS(G24-I24)</f>
        <v>0.10494699646643113</v>
      </c>
      <c r="S24" s="40">
        <f>ABS(H24-I24)</f>
        <v>0.09505300353356905</v>
      </c>
      <c r="T24" s="37">
        <f>SUM(E24,F24)/P24</f>
        <v>1.953970080552359</v>
      </c>
      <c r="U24" s="37">
        <f>LOG10(E24+F24)*I24</f>
        <v>15.519679382677063</v>
      </c>
      <c r="V24" s="37">
        <f>(L24/P24)*100</f>
        <v>0</v>
      </c>
      <c r="W24" s="37">
        <f>(M24/P24)*100</f>
        <v>1.8411967779056386</v>
      </c>
      <c r="X24" s="37">
        <f>(N24/P24)*100</f>
        <v>0</v>
      </c>
      <c r="Y24" s="37">
        <f>(O24/P24)*100</f>
        <v>0.7364787111622555</v>
      </c>
      <c r="Z24" s="37">
        <f>E24/F24</f>
        <v>0.9057239057239057</v>
      </c>
      <c r="AA24" s="40">
        <f>(SUM(E24,F24)/(L24+0.1))/100</f>
        <v>169.8</v>
      </c>
      <c r="AB24" s="40">
        <f>(SUM(E24,F24)/(M24+0.1))/100</f>
        <v>1.0546583850931674</v>
      </c>
      <c r="AC24" s="40">
        <f>(SUM(E24,F24)/(N24+0.1))/100</f>
        <v>169.8</v>
      </c>
      <c r="AD24" s="40">
        <f>(SUM(E24,F24)/(O24+0.1))/100</f>
        <v>2.6123076923076924</v>
      </c>
    </row>
    <row r="25" ht="30.75">
      <c r="A25" s="34">
        <f>A24+1</f>
        <v>59</v>
      </c>
      <c r="B25" s="34" t="s">
        <v>103</v>
      </c>
      <c r="C25" s="35" t="s">
        <v>128</v>
      </c>
      <c r="D25" s="35" t="s">
        <v>105</v>
      </c>
      <c r="E25" s="12">
        <v>1096</v>
      </c>
      <c r="F25" s="39">
        <v>476</v>
      </c>
      <c r="G25" s="12">
        <v>4.2</v>
      </c>
      <c r="H25" s="39">
        <v>4.6</v>
      </c>
      <c r="I25" s="12">
        <f>((G25*E25)+(H25*F25))/SUM(E25,F25)</f>
        <v>4.321119592875317</v>
      </c>
      <c r="J25" s="12">
        <v>1</v>
      </c>
      <c r="K25" s="39">
        <v>27</v>
      </c>
      <c r="L25" s="39">
        <v>0</v>
      </c>
      <c r="M25" s="39">
        <v>0</v>
      </c>
      <c r="N25" s="39">
        <v>0</v>
      </c>
      <c r="O25" s="12">
        <f>(L25*0.5)+(M25*0.4)+(N25*0.1)</f>
        <v>0</v>
      </c>
      <c r="P25" s="13">
        <v>1410</v>
      </c>
      <c r="Q25" s="40">
        <f>ABS(G25-H25)</f>
        <v>0.39999999999999947</v>
      </c>
      <c r="R25" s="40">
        <f>ABS(G25-I25)</f>
        <v>0.12111959287531704</v>
      </c>
      <c r="S25" s="40">
        <f>ABS(H25-I25)</f>
        <v>0.27888040712468243</v>
      </c>
      <c r="T25" s="37">
        <f>SUM(E25,F25)/P25</f>
        <v>1.1148936170212767</v>
      </c>
      <c r="U25" s="37">
        <f>LOG10(E25+F25)*I25</f>
        <v>13.812253705650622</v>
      </c>
      <c r="V25" s="37">
        <f>(L25/P25)*100</f>
        <v>0</v>
      </c>
      <c r="W25" s="37">
        <f>(M25/P25)*100</f>
        <v>0</v>
      </c>
      <c r="X25" s="37">
        <f>(N25/P25)*100</f>
        <v>0</v>
      </c>
      <c r="Y25" s="37">
        <f>(O25/P25)*100</f>
        <v>0</v>
      </c>
      <c r="Z25" s="37">
        <f>E25/F25</f>
        <v>2.302521008403361</v>
      </c>
      <c r="AA25" s="40">
        <f>(SUM(E25,F25)/(L25+0.1))/100</f>
        <v>157.2</v>
      </c>
      <c r="AB25" s="40">
        <f>(SUM(E25,F25)/(M25+0.1))/100</f>
        <v>157.2</v>
      </c>
      <c r="AC25" s="40">
        <f>(SUM(E25,F25)/(N25+0.1))/100</f>
        <v>157.2</v>
      </c>
      <c r="AD25" s="40">
        <f>(SUM(E25,F25)/(O25+0.1))/100</f>
        <v>157.2</v>
      </c>
    </row>
    <row r="26" ht="30.75">
      <c r="A26" s="34">
        <f>A25+1</f>
        <v>60</v>
      </c>
      <c r="B26" s="34" t="s">
        <v>103</v>
      </c>
      <c r="C26" s="35" t="s">
        <v>129</v>
      </c>
      <c r="D26" s="35" t="s">
        <v>105</v>
      </c>
      <c r="E26" s="12">
        <v>975</v>
      </c>
      <c r="F26" s="39">
        <v>534</v>
      </c>
      <c r="G26" s="12">
        <v>4.8</v>
      </c>
      <c r="H26" s="39">
        <v>4.9</v>
      </c>
      <c r="I26" s="12">
        <f>((G26*E26)+(H26*F26))/SUM(E26,F26)</f>
        <v>4.835387673956262</v>
      </c>
      <c r="J26" s="12">
        <v>1</v>
      </c>
      <c r="K26" s="39">
        <v>28</v>
      </c>
      <c r="L26" s="39">
        <v>0</v>
      </c>
      <c r="M26" s="39">
        <v>0</v>
      </c>
      <c r="N26" s="39">
        <v>0</v>
      </c>
      <c r="O26" s="12">
        <f>(L26*0.5)+(M26*0.4)+(N26*0.1)</f>
        <v>0</v>
      </c>
      <c r="P26" s="40">
        <v>974</v>
      </c>
      <c r="Q26" s="40">
        <f>ABS(G26-H26)</f>
        <v>0.10000000000000053</v>
      </c>
      <c r="R26" s="40">
        <f>ABS(G26-I26)</f>
        <v>0.03538767395626241</v>
      </c>
      <c r="S26" s="40">
        <f>ABS(H26-I26)</f>
        <v>0.06461232604373812</v>
      </c>
      <c r="T26" s="40">
        <f>SUM(E26,F26)/P26</f>
        <v>1.5492813141683779</v>
      </c>
      <c r="U26" s="37">
        <f>LOG10(E26+F26)*I26</f>
        <v>15.37019476934829</v>
      </c>
      <c r="V26" s="37">
        <f>(L26/P26)*100</f>
        <v>0</v>
      </c>
      <c r="W26" s="37">
        <f>(M26/P26)*100</f>
        <v>0</v>
      </c>
      <c r="X26" s="37">
        <f>(N26/P26)*100</f>
        <v>0</v>
      </c>
      <c r="Y26" s="40">
        <f>(O26/P26)*100</f>
        <v>0</v>
      </c>
      <c r="Z26" s="37">
        <f>E26/F26</f>
        <v>1.8258426966292134</v>
      </c>
      <c r="AA26" s="40">
        <f>(SUM(E26,F26)/(L26+0.1))/100</f>
        <v>150.9</v>
      </c>
      <c r="AB26" s="40">
        <f>(SUM(E26,F26)/(M26+0.1))/100</f>
        <v>150.9</v>
      </c>
      <c r="AC26" s="40">
        <f>(SUM(E26,F26)/(N26+0.1))/100</f>
        <v>150.9</v>
      </c>
      <c r="AD26" s="40">
        <f>(SUM(E26,F26)/(O26+0.1))/100</f>
        <v>150.9</v>
      </c>
    </row>
    <row r="27">
      <c r="A27" s="34">
        <f>A26+1</f>
        <v>61</v>
      </c>
      <c r="B27" s="34" t="s">
        <v>103</v>
      </c>
      <c r="C27" s="35" t="s">
        <v>130</v>
      </c>
      <c r="D27" s="35" t="s">
        <v>131</v>
      </c>
      <c r="E27" s="12">
        <v>383</v>
      </c>
      <c r="F27" s="39">
        <v>90</v>
      </c>
      <c r="G27" s="12">
        <v>4.6</v>
      </c>
      <c r="H27" s="39">
        <v>4.5</v>
      </c>
      <c r="I27" s="12">
        <f>((G27*E27)+(H27*F27))/SUM(E27,F27)</f>
        <v>4.580972515856237</v>
      </c>
      <c r="J27" s="12">
        <v>1</v>
      </c>
      <c r="K27" s="40">
        <v>261</v>
      </c>
      <c r="L27" s="40">
        <v>0</v>
      </c>
      <c r="M27" s="40">
        <v>0</v>
      </c>
      <c r="N27" s="40">
        <v>0</v>
      </c>
      <c r="O27" s="12">
        <f>(L27*0.5)+(M27*0.4)+(N27*0.1)</f>
        <v>0</v>
      </c>
      <c r="P27" s="12">
        <v>671</v>
      </c>
      <c r="Q27" s="40">
        <f>ABS(G27-H27)</f>
        <v>0.09999999999999964</v>
      </c>
      <c r="R27" s="40">
        <f>ABS(G27-I27)</f>
        <v>0.019027484143762763</v>
      </c>
      <c r="S27" s="40">
        <f>ABS(H27-I27)</f>
        <v>0.08097251585623688</v>
      </c>
      <c r="T27" s="37">
        <f>SUM(E27,F27)/P27</f>
        <v>0.7049180327868853</v>
      </c>
      <c r="U27" s="37">
        <f>LOG10(E27+F27)*I27</f>
        <v>12.253465369451776</v>
      </c>
      <c r="V27" s="37">
        <f>(L27/P27)*100</f>
        <v>0</v>
      </c>
      <c r="W27" s="40">
        <f>(M27/P27)*100</f>
        <v>0</v>
      </c>
      <c r="X27" s="40">
        <f>(N27/P27)*100</f>
        <v>0</v>
      </c>
      <c r="Y27" s="37">
        <f>(O27/P27)*100</f>
        <v>0</v>
      </c>
      <c r="Z27" s="40">
        <f>E27/F27</f>
        <v>4.2555555555555555</v>
      </c>
      <c r="AA27" s="40">
        <f>(SUM(E27,F27)/(L27+0.1))/100</f>
        <v>47.3</v>
      </c>
      <c r="AB27" s="40">
        <f>(SUM(E27,F27)/(M27+0.1))/100</f>
        <v>47.3</v>
      </c>
      <c r="AC27" s="40">
        <f>(SUM(E27,F27)/(N27+0.1))/100</f>
        <v>47.3</v>
      </c>
      <c r="AD27" s="40">
        <f>(SUM(E27,F27)/(O27+0.1))/100</f>
        <v>47.3</v>
      </c>
    </row>
    <row r="28">
      <c r="A28" s="34">
        <f>A27+1</f>
        <v>62</v>
      </c>
      <c r="B28" s="34" t="s">
        <v>103</v>
      </c>
      <c r="C28" s="35" t="s">
        <v>132</v>
      </c>
      <c r="D28" s="35" t="s">
        <v>131</v>
      </c>
      <c r="E28" s="12">
        <v>1222</v>
      </c>
      <c r="F28" s="39">
        <v>174</v>
      </c>
      <c r="G28" s="12">
        <v>4.2</v>
      </c>
      <c r="H28" s="39">
        <v>4</v>
      </c>
      <c r="I28" s="12">
        <f>((G28*E28)+(H28*F28))/SUM(E28,F28)</f>
        <v>4.175071633237823</v>
      </c>
      <c r="J28" s="12">
        <v>1</v>
      </c>
      <c r="K28" s="40">
        <v>478</v>
      </c>
      <c r="L28" s="40">
        <v>0</v>
      </c>
      <c r="M28" s="40">
        <v>0</v>
      </c>
      <c r="N28" s="40">
        <v>0</v>
      </c>
      <c r="O28" s="12">
        <f>(L28*0.5)+(M28*0.4)+(N28*0.1)</f>
        <v>0</v>
      </c>
      <c r="P28" s="12">
        <v>426</v>
      </c>
      <c r="Q28" s="40">
        <f>ABS(G28-H28)</f>
        <v>0.20000000000000018</v>
      </c>
      <c r="R28" s="40">
        <f>ABS(G28-I28)</f>
        <v>0.024928366762177134</v>
      </c>
      <c r="S28" s="40">
        <f>ABS(H28-I28)</f>
        <v>0.17507163323782304</v>
      </c>
      <c r="T28" s="37">
        <f>SUM(E28,F28)/P28</f>
        <v>3.276995305164319</v>
      </c>
      <c r="U28" s="37">
        <f>LOG10(E28+F28)*I28</f>
        <v>13.130121899673913</v>
      </c>
      <c r="V28" s="37">
        <f>(L28/P28)*100</f>
        <v>0</v>
      </c>
      <c r="W28" s="40">
        <f>(M28/P28)*100</f>
        <v>0</v>
      </c>
      <c r="X28" s="40">
        <f>(N28/P28)*100</f>
        <v>0</v>
      </c>
      <c r="Y28" s="37">
        <f>(O28/P28)*100</f>
        <v>0</v>
      </c>
      <c r="Z28" s="37">
        <f>E28/F28</f>
        <v>7.022988505747127</v>
      </c>
      <c r="AA28" s="40">
        <f>(SUM(E28,F28)/(L28+0.1))/100</f>
        <v>139.6</v>
      </c>
      <c r="AB28" s="40">
        <f>(SUM(E28,F28)/(M28+0.1))/100</f>
        <v>139.6</v>
      </c>
      <c r="AC28" s="40">
        <f>(SUM(E28,F28)/(N28+0.1))/100</f>
        <v>139.6</v>
      </c>
      <c r="AD28" s="40">
        <f>(SUM(E28,F28)/(O28+0.1))/100</f>
        <v>139.6</v>
      </c>
    </row>
    <row r="29">
      <c r="A29" s="34">
        <f>A28+1</f>
        <v>63</v>
      </c>
      <c r="B29" s="34" t="s">
        <v>103</v>
      </c>
      <c r="C29" s="35" t="s">
        <v>133</v>
      </c>
      <c r="D29" s="35" t="s">
        <v>131</v>
      </c>
      <c r="E29" s="12">
        <v>4217</v>
      </c>
      <c r="F29" s="39">
        <v>769</v>
      </c>
      <c r="G29" s="12">
        <v>4.2</v>
      </c>
      <c r="H29" s="39">
        <v>3.6</v>
      </c>
      <c r="I29" s="12">
        <f>((G29*E29)+(H29*F29))/SUM(E29,F29)</f>
        <v>4.107460890493382</v>
      </c>
      <c r="J29" s="12">
        <v>1</v>
      </c>
      <c r="K29" s="40">
        <v>437</v>
      </c>
      <c r="L29" s="40">
        <v>0</v>
      </c>
      <c r="M29" s="40">
        <v>0</v>
      </c>
      <c r="N29" s="40">
        <v>0</v>
      </c>
      <c r="O29" s="12">
        <f>(L29*0.5)+(M29*0.4)+(N29*0.1)</f>
        <v>0</v>
      </c>
      <c r="P29" s="12">
        <v>397</v>
      </c>
      <c r="Q29" s="40">
        <f>ABS(G29-H29)</f>
        <v>0.6000000000000001</v>
      </c>
      <c r="R29" s="40">
        <f>ABS(G29-I29)</f>
        <v>0.09253910950661837</v>
      </c>
      <c r="S29" s="40">
        <f>ABS(H29-I29)</f>
        <v>0.5074608904933817</v>
      </c>
      <c r="T29" s="37">
        <f>SUM(E29,F29)/P29</f>
        <v>12.55919395465995</v>
      </c>
      <c r="U29" s="37">
        <f>LOG10(E29+F29)*I29</f>
        <v>15.188372848877012</v>
      </c>
      <c r="V29" s="37">
        <f>(L29/P29)*100</f>
        <v>0</v>
      </c>
      <c r="W29" s="40">
        <f>(M29/P29)*100</f>
        <v>0</v>
      </c>
      <c r="X29" s="40">
        <f>(N29/P29)*100</f>
        <v>0</v>
      </c>
      <c r="Y29" s="37">
        <f>(O29/P29)*100</f>
        <v>0</v>
      </c>
      <c r="Z29" s="37">
        <f>E29/F29</f>
        <v>5.483745123537061</v>
      </c>
      <c r="AA29" s="40">
        <f>(SUM(E29,F29)/(L29+0.1))/100</f>
        <v>498.6</v>
      </c>
      <c r="AB29" s="40">
        <f>(SUM(E29,F29)/(M29+0.1))/100</f>
        <v>498.6</v>
      </c>
      <c r="AC29" s="40">
        <f>(SUM(E29,F29)/(N29+0.1))/100</f>
        <v>498.6</v>
      </c>
      <c r="AD29" s="40">
        <f>(SUM(E29,F29)/(O29+0.1))/100</f>
        <v>498.6</v>
      </c>
    </row>
    <row r="30" ht="30.75">
      <c r="A30" s="34">
        <f>A29+1</f>
        <v>64</v>
      </c>
      <c r="B30" s="34" t="s">
        <v>103</v>
      </c>
      <c r="C30" s="35" t="s">
        <v>134</v>
      </c>
      <c r="D30" s="35" t="s">
        <v>131</v>
      </c>
      <c r="E30" s="12">
        <v>846</v>
      </c>
      <c r="F30" s="40">
        <v>19</v>
      </c>
      <c r="G30" s="12">
        <v>4.5</v>
      </c>
      <c r="H30" s="40">
        <v>4.3</v>
      </c>
      <c r="I30" s="12">
        <f>((G30*E30)+(H30*F30))/SUM(E30,F30)</f>
        <v>4.495606936416185</v>
      </c>
      <c r="J30" s="12">
        <v>0</v>
      </c>
      <c r="K30" s="40">
        <v>0</v>
      </c>
      <c r="L30" s="40">
        <v>0</v>
      </c>
      <c r="M30" s="40">
        <v>0</v>
      </c>
      <c r="N30" s="40">
        <v>0</v>
      </c>
      <c r="O30" s="12">
        <f>(L30*0.5)+(M30*0.4)+(N30*0.1)</f>
        <v>0</v>
      </c>
      <c r="P30" s="40">
        <v>4760</v>
      </c>
      <c r="Q30" s="40">
        <f>ABS(G30-H30)</f>
        <v>0.20000000000000018</v>
      </c>
      <c r="R30" s="40">
        <f>ABS(G30-I30)</f>
        <v>0.004393063583814971</v>
      </c>
      <c r="S30" s="40">
        <f>ABS(H30-I30)</f>
        <v>0.1956069364161852</v>
      </c>
      <c r="T30" s="37">
        <f>SUM(E30,F30)/P30</f>
        <v>0.18172268907563024</v>
      </c>
      <c r="U30" s="37">
        <f>LOG10(E30+F30)*I30</f>
        <v>13.203669985084883</v>
      </c>
      <c r="V30" s="37">
        <f>(L30/P30)*100</f>
        <v>0</v>
      </c>
      <c r="W30" s="40">
        <f>(M30/P30)*100</f>
        <v>0</v>
      </c>
      <c r="X30" s="40">
        <f>(N30/P30)*100</f>
        <v>0</v>
      </c>
      <c r="Y30" s="37">
        <f>(O30/P30)*100</f>
        <v>0</v>
      </c>
      <c r="Z30" s="37">
        <f>E30/F30</f>
        <v>44.526315789473685</v>
      </c>
      <c r="AA30" s="40">
        <f>(SUM(E30,F30)/(L30+0.1))/100</f>
        <v>86.5</v>
      </c>
      <c r="AB30" s="40">
        <f>(SUM(E30,F30)/(M30+0.1))/100</f>
        <v>86.5</v>
      </c>
      <c r="AC30" s="40">
        <f>(SUM(E30,F30)/(N30+0.1))/100</f>
        <v>86.5</v>
      </c>
      <c r="AD30" s="40">
        <f>(SUM(E30,F30)/(O30+0.1))/100</f>
        <v>86.5</v>
      </c>
    </row>
    <row r="31">
      <c r="A31" s="34">
        <f>A30+1</f>
        <v>65</v>
      </c>
      <c r="B31" s="34" t="s">
        <v>103</v>
      </c>
      <c r="C31" s="35" t="s">
        <v>135</v>
      </c>
      <c r="D31" s="35" t="s">
        <v>131</v>
      </c>
      <c r="E31" s="12">
        <v>8332</v>
      </c>
      <c r="F31" s="40">
        <v>1161</v>
      </c>
      <c r="G31" s="12">
        <v>4.4</v>
      </c>
      <c r="H31" s="40">
        <v>3.8</v>
      </c>
      <c r="I31" s="12">
        <f>((G31*E31)+(H31*F31))/SUM(E31,F31)</f>
        <v>4.326619614452755</v>
      </c>
      <c r="J31" s="12">
        <v>1</v>
      </c>
      <c r="K31" s="40">
        <v>304</v>
      </c>
      <c r="L31" s="40">
        <v>0</v>
      </c>
      <c r="M31" s="40">
        <v>0</v>
      </c>
      <c r="N31" s="40">
        <v>0</v>
      </c>
      <c r="O31" s="12">
        <f>(L31*0.5)+(M31*0.4)+(N31*0.1)</f>
        <v>0</v>
      </c>
      <c r="P31" s="40">
        <v>760</v>
      </c>
      <c r="Q31" s="40">
        <f>ABS(G31-H31)</f>
        <v>0.6000000000000005</v>
      </c>
      <c r="R31" s="40">
        <f>ABS(G31-I31)</f>
        <v>0.07338038554724502</v>
      </c>
      <c r="S31" s="40">
        <f>ABS(H31-I31)</f>
        <v>0.5266196144527555</v>
      </c>
      <c r="T31" s="37">
        <f>SUM(E31,F31)/P31</f>
        <v>12.490789473684211</v>
      </c>
      <c r="U31" s="37">
        <f>LOG10(E31+F31)*I31</f>
        <v>17.208711914939666</v>
      </c>
      <c r="V31" s="37">
        <f>(L31/P31)*100</f>
        <v>0</v>
      </c>
      <c r="W31" s="40">
        <f>(M31/P31)*100</f>
        <v>0</v>
      </c>
      <c r="X31" s="40">
        <f>(N31/P31)*100</f>
        <v>0</v>
      </c>
      <c r="Y31" s="37">
        <f>(O31/P31)*100</f>
        <v>0</v>
      </c>
      <c r="Z31" s="37">
        <f>E31/F31</f>
        <v>7.176571920757968</v>
      </c>
      <c r="AA31" s="40">
        <f>(SUM(E31,F31)/(L31+0.1))/100</f>
        <v>949.3</v>
      </c>
      <c r="AB31" s="40">
        <f>(SUM(E31,F31)/(M31+0.1))/100</f>
        <v>949.3</v>
      </c>
      <c r="AC31" s="40">
        <f>(SUM(E31,F31)/(N31+0.1))/100</f>
        <v>949.3</v>
      </c>
      <c r="AD31" s="40">
        <f>(SUM(E31,F31)/(O31+0.1))/100</f>
        <v>949.3</v>
      </c>
    </row>
    <row r="32" ht="30.75">
      <c r="A32" s="34">
        <f>A31+1</f>
        <v>66</v>
      </c>
      <c r="B32" s="34" t="s">
        <v>103</v>
      </c>
      <c r="C32" s="35" t="s">
        <v>136</v>
      </c>
      <c r="D32" s="35" t="s">
        <v>131</v>
      </c>
      <c r="E32" s="12">
        <v>253</v>
      </c>
      <c r="F32" s="40">
        <v>1</v>
      </c>
      <c r="G32" s="40">
        <v>4.7</v>
      </c>
      <c r="H32" s="40">
        <v>0</v>
      </c>
      <c r="I32" s="12">
        <f>((G32*E32)+(H32*F32))/SUM(E32,F32)</f>
        <v>4.681496062992126</v>
      </c>
      <c r="J32" s="12">
        <v>0</v>
      </c>
      <c r="K32" s="40">
        <v>0</v>
      </c>
      <c r="L32" s="40">
        <v>0</v>
      </c>
      <c r="M32" s="40">
        <v>0</v>
      </c>
      <c r="N32" s="40">
        <v>0</v>
      </c>
      <c r="O32" s="12">
        <f>(L32*0.5)+(M32*0.4)+(N32*0.1)</f>
        <v>0</v>
      </c>
      <c r="P32" s="40">
        <v>1310</v>
      </c>
      <c r="Q32" s="40">
        <f>ABS(G32-H32)</f>
        <v>4.7</v>
      </c>
      <c r="R32" s="40">
        <f>ABS(G32-I32)</f>
        <v>0.018503937007873894</v>
      </c>
      <c r="S32" s="40">
        <f>ABS(H32-I32)</f>
        <v>4.681496062992126</v>
      </c>
      <c r="T32" s="37">
        <f>SUM(E32,F32)/P32</f>
        <v>0.19389312977099238</v>
      </c>
      <c r="U32" s="37">
        <f>LOG10(E32+F32)*I32</f>
        <v>11.258219576506963</v>
      </c>
      <c r="V32" s="37">
        <f>(L32/P32)*100</f>
        <v>0</v>
      </c>
      <c r="W32" s="40">
        <f>(M32/P32)*100</f>
        <v>0</v>
      </c>
      <c r="X32" s="40">
        <f>(N32/P32)*100</f>
        <v>0</v>
      </c>
      <c r="Y32" s="37">
        <f>(O32/P32)*100</f>
        <v>0</v>
      </c>
      <c r="Z32" s="37">
        <f>E32/F32</f>
        <v>253</v>
      </c>
      <c r="AA32" s="40">
        <f>(SUM(E32,F32)/(L32+0.1))/100</f>
        <v>25.4</v>
      </c>
      <c r="AB32" s="40">
        <f>(SUM(E32,F32)/(M32+0.1))/100</f>
        <v>25.4</v>
      </c>
      <c r="AC32" s="40">
        <f>(SUM(E32,F32)/(N32+0.1))/100</f>
        <v>25.4</v>
      </c>
      <c r="AD32" s="40">
        <f>(SUM(E32,F32)/(O32+0.1))/100</f>
        <v>25.4</v>
      </c>
    </row>
    <row r="33" ht="30.75">
      <c r="A33" s="34">
        <f>A32+1</f>
        <v>67</v>
      </c>
      <c r="B33" s="34" t="s">
        <v>103</v>
      </c>
      <c r="C33" s="35" t="s">
        <v>137</v>
      </c>
      <c r="D33" s="35" t="s">
        <v>131</v>
      </c>
      <c r="E33" s="12">
        <v>3799</v>
      </c>
      <c r="F33" s="40">
        <v>1</v>
      </c>
      <c r="G33" s="12">
        <v>4.7</v>
      </c>
      <c r="H33" s="40">
        <v>0</v>
      </c>
      <c r="I33" s="12">
        <f>((G33*E33)+(H33*F33))/SUM(E33,F33)</f>
        <v>4.698763157894737</v>
      </c>
      <c r="J33" s="12">
        <v>0</v>
      </c>
      <c r="K33" s="40">
        <v>0</v>
      </c>
      <c r="L33" s="40">
        <v>0</v>
      </c>
      <c r="M33" s="40">
        <v>0</v>
      </c>
      <c r="N33" s="40">
        <v>0</v>
      </c>
      <c r="O33" s="12">
        <f>(L33*0.5)+(M33*0.4)+(N33*0.1)</f>
        <v>0</v>
      </c>
      <c r="P33" s="40">
        <v>6260</v>
      </c>
      <c r="Q33" s="40">
        <f>ABS(G33-H33)</f>
        <v>4.7</v>
      </c>
      <c r="R33" s="40">
        <f>ABS(G33-I33)</f>
        <v>0.0012368421052633138</v>
      </c>
      <c r="S33" s="40">
        <f>ABS(H33-I33)</f>
        <v>4.698763157894737</v>
      </c>
      <c r="T33" s="37">
        <f>SUM(E33,F33)/P33</f>
        <v>0.6070287539936102</v>
      </c>
      <c r="U33" s="37">
        <f>LOG10(E33+F33)*I33</f>
        <v>16.820555277018983</v>
      </c>
      <c r="V33" s="37">
        <f>(L33/P33)*100</f>
        <v>0</v>
      </c>
      <c r="W33" s="40">
        <f>(M33/P33)*100</f>
        <v>0</v>
      </c>
      <c r="X33" s="40">
        <f>(N33/P33)*100</f>
        <v>0</v>
      </c>
      <c r="Y33" s="37">
        <f>(O33/P33)*100</f>
        <v>0</v>
      </c>
      <c r="Z33" s="37">
        <f>E33/F33</f>
        <v>3799</v>
      </c>
      <c r="AA33" s="40">
        <f>(SUM(E33,F33)/(L33+0.1))/100</f>
        <v>380</v>
      </c>
      <c r="AB33" s="40">
        <f>(SUM(E33,F33)/(M33+0.1))/100</f>
        <v>380</v>
      </c>
      <c r="AC33" s="40">
        <f>(SUM(E33,F33)/(N33+0.1))/100</f>
        <v>380</v>
      </c>
      <c r="AD33" s="40">
        <f>(SUM(E33,F33)/(O33+0.1))/100</f>
        <v>380</v>
      </c>
    </row>
  </sheetData>
  <pageMargins left="0.699999988079071" right="0.699999988079071" top="0.75" bottom="0.75" header="0.30000001192092896" footer="0.30000001192092896"/>
  <pageSetup orientation="portrait"/>
  <legacyDrawing r:id="rId2"/>
</worksheet>
</file>

<file path=xl/worksheets/sheet8.xml><?xml version="1.0" encoding="utf-8"?>
<worksheet xmlns="http://schemas.openxmlformats.org/spreadsheetml/2006/main" xmlns:r="http://schemas.openxmlformats.org/officeDocument/2006/relationships">
  <dimension ref="A1:BE36"/>
  <sheetViews>
    <sheetView zoomScale="85" zoomScaleNormal="85" workbookViewId="0">
      <selection activeCell="K40" sqref="K40"/>
    </sheetView>
  </sheetViews>
  <sheetFormatPr defaultColWidth="11.421875" defaultRowHeight="15"/>
  <sheetData>
    <row r="1">
      <c r="A1" t="s">
        <v>72</v>
      </c>
      <c r="B1" t="s">
        <v>73</v>
      </c>
      <c r="C1" t="s">
        <v>74</v>
      </c>
      <c r="D1" t="s">
        <v>75</v>
      </c>
      <c r="E1" t="s">
        <v>76</v>
      </c>
      <c r="F1" t="s">
        <v>77</v>
      </c>
      <c r="G1" t="s">
        <v>78</v>
      </c>
      <c r="H1" t="s">
        <v>79</v>
      </c>
      <c r="I1" t="s">
        <v>80</v>
      </c>
      <c r="J1" t="s">
        <v>81</v>
      </c>
      <c r="K1" t="s">
        <v>82</v>
      </c>
      <c r="L1" t="s">
        <v>83</v>
      </c>
      <c r="M1" t="s">
        <v>84</v>
      </c>
      <c r="N1" t="s">
        <v>85</v>
      </c>
      <c r="O1" t="s">
        <v>86</v>
      </c>
      <c r="P1" t="s">
        <v>87</v>
      </c>
      <c r="Q1" t="s">
        <v>88</v>
      </c>
      <c r="R1" t="s">
        <v>89</v>
      </c>
      <c r="S1" t="s">
        <v>90</v>
      </c>
      <c r="T1" t="s">
        <v>91</v>
      </c>
      <c r="U1" t="s">
        <v>92</v>
      </c>
      <c r="V1" t="s">
        <v>93</v>
      </c>
      <c r="W1" t="s">
        <v>94</v>
      </c>
      <c r="X1" t="s">
        <v>95</v>
      </c>
      <c r="Y1" t="s">
        <v>96</v>
      </c>
      <c r="Z1" t="s">
        <v>97</v>
      </c>
      <c r="AA1" t="s">
        <v>98</v>
      </c>
      <c r="AB1" t="s">
        <v>99</v>
      </c>
      <c r="AC1" t="s">
        <v>100</v>
      </c>
      <c r="AD1" t="s">
        <v>101</v>
      </c>
    </row>
    <row r="2">
      <c r="A2" s="10">
        <f>'Restauración Completo'!A2</f>
        <v>36</v>
      </c>
      <c r="B2" s="10" t="str">
        <f>'Restauración Completo'!B2</f>
        <v>Restauración</v>
      </c>
      <c r="C2" s="10" t="str">
        <f>'Restauración Completo'!C2</f>
        <v>Alimentari E Diversi</v>
      </c>
      <c r="D2" s="10" t="str">
        <f>'Restauración Completo'!D2</f>
        <v>Tripadvisor</v>
      </c>
      <c r="E2" s="9">
        <f>'Restauración Completo'!E2</f>
        <v>2879</v>
      </c>
      <c r="F2" s="9">
        <f>'Restauración Completo'!F2</f>
        <v>3339</v>
      </c>
      <c r="G2" s="9">
        <f>'Restauración Completo'!G2</f>
        <v>4.7</v>
      </c>
      <c r="H2" s="9">
        <f>'Restauración Completo'!H2</f>
        <v>4.9</v>
      </c>
      <c r="I2" s="9">
        <f>'Restauración Completo'!I2</f>
        <v>4.807397877130911</v>
      </c>
      <c r="J2" s="9">
        <f>'Restauración Completo'!J2</f>
        <v>1</v>
      </c>
      <c r="K2" s="9">
        <f>'Restauración Completo'!K2</f>
        <v>1</v>
      </c>
      <c r="L2" s="9">
        <f>'Restauración Completo'!L2</f>
        <v>0</v>
      </c>
      <c r="M2" s="9">
        <f>'Restauración Completo'!M2</f>
        <v>50</v>
      </c>
      <c r="N2" s="9">
        <f>'Restauración Completo'!N2</f>
        <v>33</v>
      </c>
      <c r="O2" s="9">
        <f>'Restauración Completo'!O2</f>
        <v>23.3</v>
      </c>
      <c r="P2" s="9">
        <f>'Restauración Completo'!P2</f>
        <v>837</v>
      </c>
      <c r="Q2" s="9">
        <f>'Restauración Completo'!Q2</f>
        <v>0.20000000000000018</v>
      </c>
      <c r="R2" s="9">
        <f>'Restauración Completo'!R2</f>
        <v>0.09260212286908942</v>
      </c>
      <c r="S2" s="9">
        <f>'Restauración Completo'!S2</f>
        <v>0.09260212286908942</v>
      </c>
      <c r="T2" s="9">
        <f>'Restauración Completo'!T2</f>
        <v>7.428912783751493</v>
      </c>
      <c r="U2" s="9">
        <f>'Restauración Completo'!U2</f>
        <v>18.23758840688162</v>
      </c>
      <c r="V2" s="9">
        <f>'Restauración Completo'!V2</f>
        <v>0</v>
      </c>
      <c r="W2" s="9">
        <f>'Restauración Completo'!W2</f>
        <v>5.973715651135006</v>
      </c>
      <c r="X2" s="9">
        <f>'Restauración Completo'!X2</f>
        <v>3.942652329749104</v>
      </c>
      <c r="Y2" s="9">
        <f>'Restauración Completo'!Y2</f>
        <v>2.783751493428913</v>
      </c>
      <c r="Z2" s="9">
        <f>'Restauración Completo'!Z2</f>
        <v>0.8622342018568434</v>
      </c>
      <c r="AA2" s="9">
        <f>'Restauración Completo'!AA2</f>
        <v>621.8</v>
      </c>
      <c r="AB2" s="9">
        <f>'Restauración Completo'!AB2</f>
        <v>1.2411177644710578</v>
      </c>
      <c r="AC2" s="9">
        <f>'Restauración Completo'!AC2</f>
        <v>1.8785498489425982</v>
      </c>
      <c r="AD2" s="9">
        <f>'Restauración Completo'!AD2</f>
        <v>2.657264957264957</v>
      </c>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row>
    <row r="3">
      <c r="A3" s="10">
        <f>'Restauración Completo'!A3</f>
        <v>37</v>
      </c>
      <c r="B3" s="10" t="str">
        <f>'Restauración Completo'!B3</f>
        <v>Restauración</v>
      </c>
      <c r="C3" s="10" t="str">
        <f>'Restauración Completo'!C3</f>
        <v>Fatouch</v>
      </c>
      <c r="D3" s="10" t="str">
        <f>'Restauración Completo'!D3</f>
        <v>Tripadvisor</v>
      </c>
      <c r="E3" s="9">
        <f>'Restauración Completo'!E3</f>
        <v>3302</v>
      </c>
      <c r="F3" s="9">
        <f>'Restauración Completo'!F3</f>
        <v>2510</v>
      </c>
      <c r="G3" s="9">
        <f>'Restauración Completo'!G3</f>
        <v>4.7</v>
      </c>
      <c r="H3" s="9">
        <f>'Restauración Completo'!H3</f>
        <v>4.9</v>
      </c>
      <c r="I3" s="9">
        <f>'Restauración Completo'!I3</f>
        <v>4.7863730213351685</v>
      </c>
      <c r="J3" s="9">
        <f>'Restauración Completo'!J3</f>
        <v>1</v>
      </c>
      <c r="K3" s="9">
        <f>'Restauración Completo'!K3</f>
        <v>2</v>
      </c>
      <c r="L3" s="9">
        <f>'Restauración Completo'!L3</f>
        <v>0</v>
      </c>
      <c r="M3" s="9">
        <f>'Restauración Completo'!M3</f>
        <v>0</v>
      </c>
      <c r="N3" s="9">
        <f>'Restauración Completo'!N3</f>
        <v>0</v>
      </c>
      <c r="O3" s="9">
        <f>'Restauración Completo'!O3</f>
        <v>0</v>
      </c>
      <c r="P3" s="9">
        <f>'Restauración Completo'!P3</f>
        <v>1220</v>
      </c>
      <c r="Q3" s="9">
        <f>'Restauración Completo'!Q3</f>
        <v>0.20000000000000018</v>
      </c>
      <c r="R3" s="9">
        <f>'Restauración Completo'!R3</f>
        <v>0.08637302133516833</v>
      </c>
      <c r="S3" s="9">
        <f>'Restauración Completo'!S3</f>
        <v>0.11362697866483185</v>
      </c>
      <c r="T3" s="9">
        <f>'Restauración Completo'!T3</f>
        <v>4.7639344262295085</v>
      </c>
      <c r="U3" s="9">
        <f>'Restauración Completo'!U3</f>
        <v>18.01746652228938</v>
      </c>
      <c r="V3" s="9">
        <f>'Restauración Completo'!V3</f>
        <v>0</v>
      </c>
      <c r="W3" s="9">
        <f>'Restauración Completo'!W3</f>
        <v>0</v>
      </c>
      <c r="X3" s="9">
        <f>'Restauración Completo'!X3</f>
        <v>0</v>
      </c>
      <c r="Y3" s="9">
        <f>'Restauración Completo'!Y3</f>
        <v>0</v>
      </c>
      <c r="Z3" s="9">
        <f>'Restauración Completo'!Z3</f>
        <v>1.3155378486055778</v>
      </c>
      <c r="AA3" s="9">
        <f>'Restauración Completo'!AA3</f>
        <v>581.2</v>
      </c>
      <c r="AB3" s="9">
        <f>'Restauración Completo'!AB3</f>
        <v>581.2</v>
      </c>
      <c r="AC3" s="9">
        <f>'Restauración Completo'!AC3</f>
        <v>581.2</v>
      </c>
      <c r="AD3" s="9">
        <f>'Restauración Completo'!AD3</f>
        <v>581.2</v>
      </c>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row>
    <row r="4">
      <c r="A4" s="10">
        <f>'Restauración Completo'!A4</f>
        <v>38</v>
      </c>
      <c r="B4" s="10" t="str">
        <f>'Restauración Completo'!B4</f>
        <v>Restauración</v>
      </c>
      <c r="C4" s="10" t="str">
        <f>'Restauración Completo'!C4</f>
        <v>Bodega Palo Santo</v>
      </c>
      <c r="D4" s="10" t="str">
        <f>'Restauración Completo'!D4</f>
        <v>Tripadvisor</v>
      </c>
      <c r="E4" s="9">
        <f>'Restauración Completo'!E4</f>
        <v>2726</v>
      </c>
      <c r="F4" s="9">
        <f>'Restauración Completo'!F4</f>
        <v>2085</v>
      </c>
      <c r="G4" s="9">
        <f>'Restauración Completo'!G4</f>
        <v>4.6</v>
      </c>
      <c r="H4" s="9">
        <f>'Restauración Completo'!H4</f>
        <v>4.8</v>
      </c>
      <c r="I4" s="9">
        <f>'Restauración Completo'!I4</f>
        <v>4.6866763666597375</v>
      </c>
      <c r="J4" s="9">
        <f>'Restauración Completo'!J4</f>
        <v>1</v>
      </c>
      <c r="K4" s="9">
        <f>'Restauración Completo'!K4</f>
        <v>3</v>
      </c>
      <c r="L4" s="9">
        <f>'Restauración Completo'!L4</f>
        <v>0</v>
      </c>
      <c r="M4" s="9">
        <f>'Restauración Completo'!M4</f>
        <v>0</v>
      </c>
      <c r="N4" s="9">
        <f>'Restauración Completo'!N4</f>
        <v>0</v>
      </c>
      <c r="O4" s="9">
        <f>'Restauración Completo'!O4</f>
        <v>0</v>
      </c>
      <c r="P4" s="9">
        <f>'Restauración Completo'!P4</f>
        <v>1060</v>
      </c>
      <c r="Q4" s="9">
        <f>'Restauración Completo'!Q4</f>
        <v>0.20000000000000018</v>
      </c>
      <c r="R4" s="9">
        <f>'Restauración Completo'!R4</f>
        <v>0.08667636665973788</v>
      </c>
      <c r="S4" s="9">
        <f>'Restauración Completo'!S4</f>
        <v>0.1133236333402623</v>
      </c>
      <c r="T4" s="9">
        <f>'Restauración Completo'!T4</f>
        <v>4.538679245283019</v>
      </c>
      <c r="U4" s="9">
        <f>'Restauración Completo'!U4</f>
        <v>17.25744542367413</v>
      </c>
      <c r="V4" s="9">
        <f>'Restauración Completo'!V4</f>
        <v>0</v>
      </c>
      <c r="W4" s="9">
        <f>'Restauración Completo'!W4</f>
        <v>0</v>
      </c>
      <c r="X4" s="9">
        <f>'Restauración Completo'!X4</f>
        <v>0</v>
      </c>
      <c r="Y4" s="9">
        <f>'Restauración Completo'!Y4</f>
        <v>0</v>
      </c>
      <c r="Z4" s="9">
        <f>'Restauración Completo'!Z4</f>
        <v>1.3074340527577937</v>
      </c>
      <c r="AA4" s="9">
        <f>'Restauración Completo'!AA4</f>
        <v>481.1</v>
      </c>
      <c r="AB4" s="9">
        <f>'Restauración Completo'!AB4</f>
        <v>481.1</v>
      </c>
      <c r="AC4" s="9">
        <f>'Restauración Completo'!AC4</f>
        <v>481.1</v>
      </c>
      <c r="AD4" s="9">
        <f>'Restauración Completo'!AD4</f>
        <v>481.1</v>
      </c>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row>
    <row r="5">
      <c r="A5" s="10">
        <f>'Restauración Completo'!A5</f>
        <v>39</v>
      </c>
      <c r="B5" s="10" t="str">
        <f>'Restauración Completo'!B5</f>
        <v>Restauración</v>
      </c>
      <c r="C5" s="10" t="str">
        <f>'Restauración Completo'!C5</f>
        <v>Abaceria del Postigo</v>
      </c>
      <c r="D5" s="10" t="str">
        <f>'Restauración Completo'!D5</f>
        <v>Tripadvisor</v>
      </c>
      <c r="E5" s="9">
        <f>'Restauración Completo'!E5</f>
        <v>1593</v>
      </c>
      <c r="F5" s="9">
        <f>'Restauración Completo'!F5</f>
        <v>2211</v>
      </c>
      <c r="G5" s="9">
        <f>'Restauración Completo'!G5</f>
        <v>4.7</v>
      </c>
      <c r="H5" s="9">
        <f>'Restauración Completo'!H5</f>
        <v>4.9</v>
      </c>
      <c r="I5" s="9">
        <f>'Restauración Completo'!I5</f>
        <v>4.816246056782334</v>
      </c>
      <c r="J5" s="9">
        <f>'Restauración Completo'!J5</f>
        <v>1</v>
      </c>
      <c r="K5" s="9">
        <f>'Restauración Completo'!K5</f>
        <v>4</v>
      </c>
      <c r="L5" s="9">
        <f>'Restauración Completo'!L5</f>
        <v>0</v>
      </c>
      <c r="M5" s="9">
        <f>'Restauración Completo'!M5</f>
        <v>0</v>
      </c>
      <c r="N5" s="9">
        <f>'Restauración Completo'!N5</f>
        <v>0</v>
      </c>
      <c r="O5" s="9">
        <f>'Restauración Completo'!O5</f>
        <v>0</v>
      </c>
      <c r="P5" s="9">
        <f>'Restauración Completo'!P5</f>
        <v>220</v>
      </c>
      <c r="Q5" s="9">
        <f>'Restauración Completo'!Q5</f>
        <v>0.20000000000000018</v>
      </c>
      <c r="R5" s="9">
        <f>'Restauración Completo'!R5</f>
        <v>0.1162460567823338</v>
      </c>
      <c r="S5" s="9">
        <f>'Restauración Completo'!S5</f>
        <v>0.08375394321766638</v>
      </c>
      <c r="T5" s="9">
        <f>'Restauración Completo'!T5</f>
        <v>17.29090909090909</v>
      </c>
      <c r="U5" s="9">
        <f>'Restauración Completo'!U5</f>
        <v>17.2433192302655</v>
      </c>
      <c r="V5" s="9">
        <f>'Restauración Completo'!V5</f>
        <v>0</v>
      </c>
      <c r="W5" s="9">
        <f>'Restauración Completo'!W5</f>
        <v>0</v>
      </c>
      <c r="X5" s="9">
        <f>'Restauración Completo'!X5</f>
        <v>0</v>
      </c>
      <c r="Y5" s="9">
        <f>'Restauración Completo'!Y5</f>
        <v>0</v>
      </c>
      <c r="Z5" s="9">
        <f>'Restauración Completo'!Z5</f>
        <v>0.7204884667571235</v>
      </c>
      <c r="AA5" s="9">
        <f>'Restauración Completo'!AA5</f>
        <v>380.4</v>
      </c>
      <c r="AB5" s="9">
        <f>'Restauración Completo'!AB5</f>
        <v>380.4</v>
      </c>
      <c r="AC5" s="9">
        <f>'Restauración Completo'!AC5</f>
        <v>380.4</v>
      </c>
      <c r="AD5" s="9">
        <f>'Restauración Completo'!AD5</f>
        <v>380.4</v>
      </c>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row>
    <row r="6">
      <c r="A6" s="10">
        <f>'Restauración Completo'!A6</f>
        <v>40</v>
      </c>
      <c r="B6" s="10" t="str">
        <f>'Restauración Completo'!B6</f>
        <v>Restauración</v>
      </c>
      <c r="C6" s="10" t="str">
        <f>'Restauración Completo'!C6</f>
        <v>Restaurante &amp; Tapas El Sella</v>
      </c>
      <c r="D6" s="10" t="str">
        <f>'Restauración Completo'!D6</f>
        <v>Tripadvisor</v>
      </c>
      <c r="E6" s="9">
        <f>'Restauración Completo'!E6</f>
        <v>4975</v>
      </c>
      <c r="F6" s="9">
        <f>'Restauración Completo'!F6</f>
        <v>6541</v>
      </c>
      <c r="G6" s="9">
        <f>'Restauración Completo'!G6</f>
        <v>4.7</v>
      </c>
      <c r="H6" s="9">
        <f>'Restauración Completo'!H6</f>
        <v>4.9</v>
      </c>
      <c r="I6" s="9">
        <f>'Restauración Completo'!I6</f>
        <v>4.813598471691559</v>
      </c>
      <c r="J6" s="9">
        <f>'Restauración Completo'!J6</f>
        <v>1</v>
      </c>
      <c r="K6" s="9">
        <f>'Restauración Completo'!K6</f>
        <v>5</v>
      </c>
      <c r="L6" s="9">
        <f>'Restauración Completo'!L6</f>
        <v>0</v>
      </c>
      <c r="M6" s="9">
        <f>'Restauración Completo'!M6</f>
        <v>0</v>
      </c>
      <c r="N6" s="9">
        <f>'Restauración Completo'!N6</f>
        <v>0</v>
      </c>
      <c r="O6" s="9">
        <f>'Restauración Completo'!O6</f>
        <v>0</v>
      </c>
      <c r="P6" s="9">
        <f>'Restauración Completo'!P6</f>
        <v>908</v>
      </c>
      <c r="Q6" s="9">
        <f>'Restauración Completo'!Q6</f>
        <v>0.20000000000000018</v>
      </c>
      <c r="R6" s="9">
        <f>'Restauración Completo'!R6</f>
        <v>0.11359847169155923</v>
      </c>
      <c r="S6" s="9">
        <f>'Restauración Completo'!S6</f>
        <v>0.08640152830844094</v>
      </c>
      <c r="T6" s="9">
        <f>'Restauración Completo'!T6</f>
        <v>12.682819383259911</v>
      </c>
      <c r="U6" s="9">
        <f>'Restauración Completo'!U6</f>
        <v>19.549475445391813</v>
      </c>
      <c r="V6" s="9">
        <f>'Restauración Completo'!V6</f>
        <v>0</v>
      </c>
      <c r="W6" s="9">
        <f>'Restauración Completo'!W6</f>
        <v>0</v>
      </c>
      <c r="X6" s="9">
        <f>'Restauración Completo'!X6</f>
        <v>0</v>
      </c>
      <c r="Y6" s="9">
        <f>'Restauración Completo'!Y6</f>
        <v>0</v>
      </c>
      <c r="Z6" s="9">
        <f>'Restauración Completo'!Z6</f>
        <v>0.7605870661978291</v>
      </c>
      <c r="AA6" s="9">
        <f>'Restauración Completo'!AA6</f>
        <v>1151.6</v>
      </c>
      <c r="AB6" s="9">
        <f>'Restauración Completo'!AB6</f>
        <v>1151.6</v>
      </c>
      <c r="AC6" s="9">
        <f>'Restauración Completo'!AC6</f>
        <v>1151.6</v>
      </c>
      <c r="AD6" s="9">
        <f>'Restauración Completo'!AD6</f>
        <v>1151.6</v>
      </c>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row>
    <row r="7">
      <c r="A7" s="10">
        <f>'Restauración Completo'!A7</f>
        <v>41</v>
      </c>
      <c r="B7" s="10" t="str">
        <f>'Restauración Completo'!B7</f>
        <v>Restauración</v>
      </c>
      <c r="C7" s="10" t="str">
        <f>'Restauración Completo'!C7</f>
        <v>Gascona</v>
      </c>
      <c r="D7" s="10" t="str">
        <f>'Restauración Completo'!D7</f>
        <v>Tripadvisor</v>
      </c>
      <c r="E7" s="9">
        <f>'Restauración Completo'!E7</f>
        <v>2753</v>
      </c>
      <c r="F7" s="9">
        <f>'Restauración Completo'!F7</f>
        <v>4410</v>
      </c>
      <c r="G7" s="9">
        <f>'Restauración Completo'!G7</f>
        <v>4.8</v>
      </c>
      <c r="H7" s="9">
        <f>'Restauración Completo'!H7</f>
        <v>4.9</v>
      </c>
      <c r="I7" s="9">
        <f>'Restauración Completo'!I7</f>
        <v>4.861566382800503</v>
      </c>
      <c r="J7" s="9">
        <f>'Restauración Completo'!J7</f>
        <v>1</v>
      </c>
      <c r="K7" s="9">
        <f>'Restauración Completo'!K7</f>
        <v>6</v>
      </c>
      <c r="L7" s="9">
        <f>'Restauración Completo'!L7</f>
        <v>13</v>
      </c>
      <c r="M7" s="9">
        <f>'Restauración Completo'!M7</f>
        <v>0</v>
      </c>
      <c r="N7" s="9">
        <f>'Restauración Completo'!N7</f>
        <v>0</v>
      </c>
      <c r="O7" s="9">
        <f>'Restauración Completo'!O7</f>
        <v>6.5</v>
      </c>
      <c r="P7" s="9">
        <f>'Restauración Completo'!P7</f>
        <v>1080</v>
      </c>
      <c r="Q7" s="9">
        <f>'Restauración Completo'!Q7</f>
        <v>0.10000000000000053</v>
      </c>
      <c r="R7" s="9">
        <f>'Restauración Completo'!R7</f>
        <v>0.061566382800503305</v>
      </c>
      <c r="S7" s="9">
        <f>'Restauración Completo'!S7</f>
        <v>0.03843361719949723</v>
      </c>
      <c r="T7" s="9">
        <f>'Restauración Completo'!T7</f>
        <v>6.632407407407407</v>
      </c>
      <c r="U7" s="9">
        <f>'Restauración Completo'!U7</f>
        <v>18.741800017056704</v>
      </c>
      <c r="V7" s="9">
        <f>'Restauración Completo'!V7</f>
        <v>1.2037037037037037</v>
      </c>
      <c r="W7" s="9">
        <f>'Restauración Completo'!W7</f>
        <v>0</v>
      </c>
      <c r="X7" s="9">
        <f>'Restauración Completo'!X7</f>
        <v>0</v>
      </c>
      <c r="Y7" s="9">
        <f>'Restauración Completo'!Y7</f>
        <v>0.6018518518518519</v>
      </c>
      <c r="Z7" s="9">
        <f>'Restauración Completo'!Z7</f>
        <v>0.6242630385487529</v>
      </c>
      <c r="AA7" s="9">
        <f>'Restauración Completo'!AA7</f>
        <v>5.46793893129771</v>
      </c>
      <c r="AB7" s="9">
        <f>'Restauración Completo'!AB7</f>
        <v>716.3</v>
      </c>
      <c r="AC7" s="9">
        <f>'Restauración Completo'!AC7</f>
        <v>716.3</v>
      </c>
      <c r="AD7" s="9">
        <f>'Restauración Completo'!AD7</f>
        <v>10.853030303030302</v>
      </c>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row>
    <row r="8">
      <c r="A8" s="10">
        <f>'Restauración Completo'!A8</f>
        <v>42</v>
      </c>
      <c r="B8" s="10" t="str">
        <f>'Restauración Completo'!B8</f>
        <v>Restauración</v>
      </c>
      <c r="C8" s="10" t="str">
        <f>'Restauración Completo'!C8</f>
        <v>Sibuya Urban Sushi Bar Sevilla (Calle Albareda)</v>
      </c>
      <c r="D8" s="10" t="str">
        <f>'Restauración Completo'!D8</f>
        <v>Tripadvisor</v>
      </c>
      <c r="E8" s="9">
        <f>'Restauración Completo'!E8</f>
        <v>4594</v>
      </c>
      <c r="F8" s="9">
        <f>'Restauración Completo'!F8</f>
        <v>7390</v>
      </c>
      <c r="G8" s="9">
        <f>'Restauración Completo'!G8</f>
        <v>4.5</v>
      </c>
      <c r="H8" s="9">
        <f>'Restauración Completo'!H8</f>
        <v>4.9</v>
      </c>
      <c r="I8" s="9">
        <f>'Restauración Completo'!I8</f>
        <v>4.746662216288384</v>
      </c>
      <c r="J8" s="9">
        <f>'Restauración Completo'!J8</f>
        <v>1</v>
      </c>
      <c r="K8" s="9">
        <f>'Restauración Completo'!K8</f>
        <v>7</v>
      </c>
      <c r="L8" s="9">
        <f>'Restauración Completo'!L8</f>
        <v>0</v>
      </c>
      <c r="M8" s="9">
        <f>'Restauración Completo'!M8</f>
        <v>0</v>
      </c>
      <c r="N8" s="9">
        <f>'Restauración Completo'!N8</f>
        <v>0</v>
      </c>
      <c r="O8" s="9">
        <f>'Restauración Completo'!O8</f>
        <v>0</v>
      </c>
      <c r="P8" s="9">
        <f>'Restauración Completo'!P8</f>
        <v>446</v>
      </c>
      <c r="Q8" s="9">
        <f>'Restauración Completo'!Q8</f>
        <v>0.40000000000000036</v>
      </c>
      <c r="R8" s="9">
        <f>'Restauración Completo'!R8</f>
        <v>0.24666221628838425</v>
      </c>
      <c r="S8" s="9">
        <f>'Restauración Completo'!S8</f>
        <v>0.1533377837116161</v>
      </c>
      <c r="T8" s="9">
        <f>'Restauración Completo'!T8</f>
        <v>26.869955156950674</v>
      </c>
      <c r="U8" s="9">
        <f>'Restauración Completo'!U8</f>
        <v>19.35974506103272</v>
      </c>
      <c r="V8" s="9">
        <f>'Restauración Completo'!V8</f>
        <v>0</v>
      </c>
      <c r="W8" s="9">
        <f>'Restauración Completo'!W8</f>
        <v>0</v>
      </c>
      <c r="X8" s="9">
        <f>'Restauración Completo'!X8</f>
        <v>0</v>
      </c>
      <c r="Y8" s="9">
        <f>'Restauración Completo'!Y8</f>
        <v>0</v>
      </c>
      <c r="Z8" s="9">
        <f>'Restauración Completo'!Z8</f>
        <v>0.6216508795669824</v>
      </c>
      <c r="AA8" s="9">
        <f>'Restauración Completo'!AA8</f>
        <v>1198.4</v>
      </c>
      <c r="AB8" s="9">
        <f>'Restauración Completo'!AB8</f>
        <v>1198.4</v>
      </c>
      <c r="AC8" s="9">
        <f>'Restauración Completo'!AC8</f>
        <v>1198.4</v>
      </c>
      <c r="AD8" s="9">
        <f>'Restauración Completo'!AD8</f>
        <v>1198.4</v>
      </c>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row>
    <row r="9">
      <c r="A9" s="10">
        <f>'Restauración Completo'!A9</f>
        <v>43</v>
      </c>
      <c r="B9" s="10" t="str">
        <f>'Restauración Completo'!B9</f>
        <v>Restauración</v>
      </c>
      <c r="C9" s="10" t="str">
        <f>'Restauración Completo'!C9</f>
        <v>Brunchit (Calle Santa Patronas)</v>
      </c>
      <c r="D9" s="10" t="str">
        <f>'Restauración Completo'!D9</f>
        <v>Tripadvisor</v>
      </c>
      <c r="E9" s="9">
        <f>'Restauración Completo'!E9</f>
        <v>3265</v>
      </c>
      <c r="F9" s="9">
        <f>'Restauración Completo'!F9</f>
        <v>643</v>
      </c>
      <c r="G9" s="9">
        <f>'Restauración Completo'!G9</f>
        <v>4.9</v>
      </c>
      <c r="H9" s="9">
        <f>'Restauración Completo'!H9</f>
        <v>4.9</v>
      </c>
      <c r="I9" s="9">
        <f>'Restauración Completo'!I9</f>
        <v>4.9</v>
      </c>
      <c r="J9" s="9">
        <f>'Restauración Completo'!J9</f>
        <v>1</v>
      </c>
      <c r="K9" s="9">
        <f>'Restauración Completo'!K9</f>
        <v>8</v>
      </c>
      <c r="L9" s="9">
        <f>'Restauración Completo'!L9</f>
        <v>0</v>
      </c>
      <c r="M9" s="9">
        <f>'Restauración Completo'!M9</f>
        <v>0</v>
      </c>
      <c r="N9" s="9">
        <f>'Restauración Completo'!N9</f>
        <v>0</v>
      </c>
      <c r="O9" s="9">
        <f>'Restauración Completo'!O9</f>
        <v>0</v>
      </c>
      <c r="P9" s="9">
        <f>'Restauración Completo'!P9</f>
        <v>679</v>
      </c>
      <c r="Q9" s="9">
        <f>'Restauración Completo'!Q9</f>
        <v>0</v>
      </c>
      <c r="R9" s="9">
        <f>'Restauración Completo'!R9</f>
        <v>0</v>
      </c>
      <c r="S9" s="9">
        <f>'Restauración Completo'!S9</f>
        <v>0</v>
      </c>
      <c r="T9" s="9">
        <f>'Restauración Completo'!T9</f>
        <v>5.755522827687776</v>
      </c>
      <c r="U9" s="9">
        <f>'Restauración Completo'!U9</f>
        <v>17.600577319729005</v>
      </c>
      <c r="V9" s="9">
        <f>'Restauración Completo'!V9</f>
        <v>0</v>
      </c>
      <c r="W9" s="9">
        <f>'Restauración Completo'!W9</f>
        <v>0</v>
      </c>
      <c r="X9" s="9">
        <f>'Restauración Completo'!X9</f>
        <v>0</v>
      </c>
      <c r="Y9" s="9">
        <f>'Restauración Completo'!Y9</f>
        <v>0</v>
      </c>
      <c r="Z9" s="9">
        <f>'Restauración Completo'!Z9</f>
        <v>5.077760497667185</v>
      </c>
      <c r="AA9" s="9">
        <f>'Restauración Completo'!AA9</f>
        <v>390.8</v>
      </c>
      <c r="AB9" s="9">
        <f>'Restauración Completo'!AB9</f>
        <v>390.8</v>
      </c>
      <c r="AC9" s="9">
        <f>'Restauración Completo'!AC9</f>
        <v>390.8</v>
      </c>
      <c r="AD9" s="9">
        <f>'Restauración Completo'!AD9</f>
        <v>390.8</v>
      </c>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row>
    <row r="10">
      <c r="A10" s="10">
        <f>'Restauración Completo'!A10</f>
        <v>44</v>
      </c>
      <c r="B10" s="10" t="str">
        <f>'Restauración Completo'!B10</f>
        <v>Restauración</v>
      </c>
      <c r="C10" s="10" t="str">
        <f>'Restauración Completo'!C10</f>
        <v>MareaViva</v>
      </c>
      <c r="D10" s="10" t="str">
        <f>'Restauración Completo'!D10</f>
        <v>Tripadvisor</v>
      </c>
      <c r="E10" s="9">
        <f>'Restauración Completo'!E10</f>
        <v>2291</v>
      </c>
      <c r="F10" s="9">
        <f>'Restauración Completo'!F10</f>
        <v>3715</v>
      </c>
      <c r="G10" s="9">
        <f>'Restauración Completo'!G10</f>
        <v>4.4</v>
      </c>
      <c r="H10" s="9">
        <f>'Restauración Completo'!H10</f>
        <v>4.9</v>
      </c>
      <c r="I10" s="9">
        <f>'Restauración Completo'!I10</f>
        <v>4.709274059274059</v>
      </c>
      <c r="J10" s="9">
        <f>'Restauración Completo'!J10</f>
        <v>1</v>
      </c>
      <c r="K10" s="9">
        <f>'Restauración Completo'!K10</f>
        <v>9</v>
      </c>
      <c r="L10" s="9">
        <f>'Restauración Completo'!L10</f>
        <v>50</v>
      </c>
      <c r="M10" s="9">
        <f>'Restauración Completo'!M10</f>
        <v>50</v>
      </c>
      <c r="N10" s="9">
        <f>'Restauración Completo'!N10</f>
        <v>50</v>
      </c>
      <c r="O10" s="9">
        <f>'Restauración Completo'!O10</f>
        <v>50</v>
      </c>
      <c r="P10" s="9">
        <f>'Restauración Completo'!P10</f>
        <v>1840</v>
      </c>
      <c r="Q10" s="9">
        <f>'Restauración Completo'!Q10</f>
        <v>0.5</v>
      </c>
      <c r="R10" s="9">
        <f>'Restauración Completo'!R10</f>
        <v>0.3092740592740588</v>
      </c>
      <c r="S10" s="9">
        <f>'Restauración Completo'!S10</f>
        <v>0.19072594072594118</v>
      </c>
      <c r="T10" s="9">
        <f>'Restauración Completo'!T10</f>
        <v>3.264130434782609</v>
      </c>
      <c r="U10" s="9">
        <f>'Restauración Completo'!U10</f>
        <v>17.794393865258613</v>
      </c>
      <c r="V10" s="9">
        <f>'Restauración Completo'!V10</f>
        <v>2.717391304347826</v>
      </c>
      <c r="W10" s="9">
        <f>'Restauración Completo'!W10</f>
        <v>2.717391304347826</v>
      </c>
      <c r="X10" s="9">
        <f>'Restauración Completo'!X10</f>
        <v>2.717391304347826</v>
      </c>
      <c r="Y10" s="9">
        <f>'Restauración Completo'!Y10</f>
        <v>2.717391304347826</v>
      </c>
      <c r="Z10" s="9">
        <f>'Restauración Completo'!Z10</f>
        <v>0.6166890982503365</v>
      </c>
      <c r="AA10" s="9">
        <f>'Restauración Completo'!AA10</f>
        <v>1.1988023952095808</v>
      </c>
      <c r="AB10" s="9">
        <f>'Restauración Completo'!AB10</f>
        <v>1.1988023952095808</v>
      </c>
      <c r="AC10" s="9">
        <f>'Restauración Completo'!AC10</f>
        <v>1.1988023952095808</v>
      </c>
      <c r="AD10" s="9">
        <f>'Restauración Completo'!AD10</f>
        <v>1.1988023952095808</v>
      </c>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row>
    <row r="11">
      <c r="A11" s="10">
        <f>'Restauración Completo'!A11</f>
        <v>45</v>
      </c>
      <c r="B11" s="10" t="str">
        <f>'Restauración Completo'!B11</f>
        <v>Restauración</v>
      </c>
      <c r="C11" s="10" t="str">
        <f>'Restauración Completo'!C11</f>
        <v>La Comilona</v>
      </c>
      <c r="D11" s="10" t="str">
        <f>'Restauración Completo'!D11</f>
        <v>Tripadvisor</v>
      </c>
      <c r="E11" s="9">
        <f>'Restauración Completo'!E11</f>
        <v>2599</v>
      </c>
      <c r="F11" s="9">
        <f>'Restauración Completo'!F11</f>
        <v>2311</v>
      </c>
      <c r="G11" s="9">
        <f>'Restauración Completo'!G11</f>
        <v>4.3</v>
      </c>
      <c r="H11" s="9">
        <f>'Restauración Completo'!H11</f>
        <v>4.8</v>
      </c>
      <c r="I11" s="9">
        <f>'Restauración Completo'!I11</f>
        <v>4.535336048879837</v>
      </c>
      <c r="J11" s="9">
        <f>'Restauración Completo'!J11</f>
        <v>1</v>
      </c>
      <c r="K11" s="9">
        <f>'Restauración Completo'!K11</f>
        <v>10</v>
      </c>
      <c r="L11" s="9">
        <f>'Restauración Completo'!L11</f>
        <v>100</v>
      </c>
      <c r="M11" s="9">
        <f>'Restauración Completo'!M11</f>
        <v>0</v>
      </c>
      <c r="N11" s="9">
        <f>'Restauración Completo'!N11</f>
        <v>16</v>
      </c>
      <c r="O11" s="9">
        <f>'Restauración Completo'!O11</f>
        <v>51.6</v>
      </c>
      <c r="P11" s="9">
        <f>'Restauración Completo'!P11</f>
        <v>1870</v>
      </c>
      <c r="Q11" s="9">
        <f>'Restauración Completo'!Q11</f>
        <v>0.5</v>
      </c>
      <c r="R11" s="9">
        <f>'Restauración Completo'!R11</f>
        <v>0.23533604887983728</v>
      </c>
      <c r="S11" s="9">
        <f>'Restauración Completo'!S11</f>
        <v>0.2646639511201627</v>
      </c>
      <c r="T11" s="9">
        <f>'Restauración Completo'!T11</f>
        <v>2.625668449197861</v>
      </c>
      <c r="U11" s="9">
        <f>'Restauración Completo'!U11</f>
        <v>16.740294950578477</v>
      </c>
      <c r="V11" s="9">
        <f>'Restauración Completo'!V11</f>
        <v>5.347593582887701</v>
      </c>
      <c r="W11" s="9">
        <f>'Restauración Completo'!W11</f>
        <v>0</v>
      </c>
      <c r="X11" s="9">
        <f>'Restauración Completo'!X11</f>
        <v>0.8556149732620321</v>
      </c>
      <c r="Y11" s="9">
        <f>'Restauración Completo'!Y11</f>
        <v>2.759358288770054</v>
      </c>
      <c r="Z11" s="9">
        <f>'Restauración Completo'!Z11</f>
        <v>1.1246213760276937</v>
      </c>
      <c r="AA11" s="9">
        <f>'Restauración Completo'!AA11</f>
        <v>0.4905094905094905</v>
      </c>
      <c r="AB11" s="9">
        <f>'Restauración Completo'!AB11</f>
        <v>491</v>
      </c>
      <c r="AC11" s="9">
        <f>'Restauración Completo'!AC11</f>
        <v>3.0496894409937885</v>
      </c>
      <c r="AD11" s="9">
        <f>'Restauración Completo'!AD11</f>
        <v>0.9497098646034816</v>
      </c>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row>
    <row r="12">
      <c r="A12" s="10">
        <f>'Restauración Completo'!A12</f>
        <v>46</v>
      </c>
      <c r="B12" s="10" t="str">
        <f>'Restauración Completo'!B12</f>
        <v>Restauración</v>
      </c>
      <c r="C12" s="10" t="str">
        <f>'Restauración Completo'!C12</f>
        <v>Beirutina, Breakfast and Lunch</v>
      </c>
      <c r="D12" s="10" t="str">
        <f>'Restauración Completo'!D12</f>
        <v>Tripadvisor</v>
      </c>
      <c r="E12" s="9">
        <f>'Restauración Completo'!E12</f>
        <v>967</v>
      </c>
      <c r="F12" s="9">
        <f>'Restauración Completo'!F12</f>
        <v>99</v>
      </c>
      <c r="G12" s="9">
        <f>'Restauración Completo'!G12</f>
        <v>4.9</v>
      </c>
      <c r="H12" s="9">
        <f>'Restauración Completo'!H12</f>
        <v>4.9</v>
      </c>
      <c r="I12" s="9">
        <f>'Restauración Completo'!I12</f>
        <v>4.9</v>
      </c>
      <c r="J12" s="9">
        <f>'Restauración Completo'!J12</f>
        <v>1</v>
      </c>
      <c r="K12" s="9">
        <f>'Restauración Completo'!K12</f>
        <v>12</v>
      </c>
      <c r="L12" s="9">
        <f>'Restauración Completo'!L12</f>
        <v>0</v>
      </c>
      <c r="M12" s="9">
        <f>'Restauración Completo'!M12</f>
        <v>0</v>
      </c>
      <c r="N12" s="9">
        <f>'Restauración Completo'!N12</f>
        <v>0</v>
      </c>
      <c r="O12" s="9">
        <f>'Restauración Completo'!O12</f>
        <v>0</v>
      </c>
      <c r="P12" s="9">
        <f>'Restauración Completo'!P12</f>
        <v>773</v>
      </c>
      <c r="Q12" s="9">
        <f>'Restauración Completo'!Q12</f>
        <v>0</v>
      </c>
      <c r="R12" s="9">
        <f>'Restauración Completo'!R12</f>
        <v>0</v>
      </c>
      <c r="S12" s="9">
        <f>'Restauración Completo'!S12</f>
        <v>0</v>
      </c>
      <c r="T12" s="9">
        <f>'Restauración Completo'!T12</f>
        <v>1.3790426908150064</v>
      </c>
      <c r="U12" s="9">
        <f>'Restauración Completo'!U12</f>
        <v>14.836010302983714</v>
      </c>
      <c r="V12" s="9">
        <f>'Restauración Completo'!V12</f>
        <v>0</v>
      </c>
      <c r="W12" s="9">
        <f>'Restauración Completo'!W12</f>
        <v>0</v>
      </c>
      <c r="X12" s="9">
        <f>'Restauración Completo'!X12</f>
        <v>0</v>
      </c>
      <c r="Y12" s="9">
        <f>'Restauración Completo'!Y12</f>
        <v>0</v>
      </c>
      <c r="Z12" s="9">
        <f>'Restauración Completo'!Z12</f>
        <v>9.767676767676768</v>
      </c>
      <c r="AA12" s="9">
        <f>'Restauración Completo'!AA12</f>
        <v>106.6</v>
      </c>
      <c r="AB12" s="9">
        <f>'Restauración Completo'!AB12</f>
        <v>106.6</v>
      </c>
      <c r="AC12" s="9">
        <f>'Restauración Completo'!AC12</f>
        <v>106.6</v>
      </c>
      <c r="AD12" s="9">
        <f>'Restauración Completo'!AD12</f>
        <v>106.6</v>
      </c>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row>
    <row r="13">
      <c r="A13" s="10">
        <f>'Restauración Completo'!A13</f>
        <v>47</v>
      </c>
      <c r="B13" s="10" t="str">
        <f>'Restauración Completo'!B13</f>
        <v>Restauración</v>
      </c>
      <c r="C13" s="10" t="str">
        <f>'Restauración Completo'!C13</f>
        <v>Taberna de La Dehesa</v>
      </c>
      <c r="D13" s="10" t="str">
        <f>'Restauración Completo'!D13</f>
        <v>Tripadvisor</v>
      </c>
      <c r="E13" s="9">
        <f>'Restauración Completo'!E13</f>
        <v>437</v>
      </c>
      <c r="F13" s="9">
        <f>'Restauración Completo'!F13</f>
        <v>674</v>
      </c>
      <c r="G13" s="9">
        <f>'Restauración Completo'!G13</f>
        <v>4</v>
      </c>
      <c r="H13" s="9">
        <f>'Restauración Completo'!H13</f>
        <v>4.7</v>
      </c>
      <c r="I13" s="9">
        <f>'Restauración Completo'!I13</f>
        <v>4.424662466246625</v>
      </c>
      <c r="J13" s="9">
        <f>'Restauración Completo'!J13</f>
        <v>1</v>
      </c>
      <c r="K13" s="9">
        <f>'Restauración Completo'!K13</f>
        <v>13</v>
      </c>
      <c r="L13" s="9">
        <f>'Restauración Completo'!L13</f>
        <v>33</v>
      </c>
      <c r="M13" s="9">
        <f>'Restauración Completo'!M13</f>
        <v>0</v>
      </c>
      <c r="N13" s="9">
        <f>'Restauración Completo'!N13</f>
        <v>0</v>
      </c>
      <c r="O13" s="9">
        <f>'Restauración Completo'!O13</f>
        <v>16.5</v>
      </c>
      <c r="P13" s="9">
        <f>'Restauración Completo'!P13</f>
        <v>1750</v>
      </c>
      <c r="Q13" s="9">
        <f>'Restauración Completo'!Q13</f>
        <v>0.7000000000000002</v>
      </c>
      <c r="R13" s="9">
        <f>'Restauración Completo'!R13</f>
        <v>0.42466246624662496</v>
      </c>
      <c r="S13" s="9">
        <f>'Restauración Completo'!S13</f>
        <v>0.2753375337533752</v>
      </c>
      <c r="T13" s="9">
        <f>'Restauración Completo'!T13</f>
        <v>0.6348571428571429</v>
      </c>
      <c r="U13" s="9">
        <f>'Restauración Completo'!U13</f>
        <v>13.476256679515318</v>
      </c>
      <c r="V13" s="9">
        <f>'Restauración Completo'!V13</f>
        <v>1.8857142857142857</v>
      </c>
      <c r="W13" s="9">
        <f>'Restauración Completo'!W13</f>
        <v>0</v>
      </c>
      <c r="X13" s="9">
        <f>'Restauración Completo'!X13</f>
        <v>0</v>
      </c>
      <c r="Y13" s="9">
        <f>'Restauración Completo'!Y13</f>
        <v>0.9428571428571428</v>
      </c>
      <c r="Z13" s="9">
        <f>'Restauración Completo'!Z13</f>
        <v>0.6483679525222552</v>
      </c>
      <c r="AA13" s="9">
        <f>'Restauración Completo'!AA13</f>
        <v>0.3356495468277946</v>
      </c>
      <c r="AB13" s="9">
        <f>'Restauración Completo'!AB13</f>
        <v>111.1</v>
      </c>
      <c r="AC13" s="9">
        <f>'Restauración Completo'!AC13</f>
        <v>111.1</v>
      </c>
      <c r="AD13" s="9">
        <f>'Restauración Completo'!AD13</f>
        <v>0.6692771084337349</v>
      </c>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row>
    <row r="14">
      <c r="A14" s="10">
        <f>'Restauración Completo'!A14</f>
        <v>48</v>
      </c>
      <c r="B14" s="10" t="str">
        <f>'Restauración Completo'!B14</f>
        <v>Restauración</v>
      </c>
      <c r="C14" s="10" t="str">
        <f>'Restauración Completo'!C14</f>
        <v>Il Ristorantino Dell' Avvocato (Calle Regina)</v>
      </c>
      <c r="D14" s="10" t="str">
        <f>'Restauración Completo'!D14</f>
        <v>Tripadvisor</v>
      </c>
      <c r="E14" s="9">
        <f>'Restauración Completo'!E14</f>
        <v>5845</v>
      </c>
      <c r="F14" s="9">
        <f>'Restauración Completo'!F14</f>
        <v>1658</v>
      </c>
      <c r="G14" s="9">
        <f>'Restauración Completo'!G14</f>
        <v>4.8</v>
      </c>
      <c r="H14" s="9">
        <f>'Restauración Completo'!H14</f>
        <v>4.8</v>
      </c>
      <c r="I14" s="9">
        <f>'Restauración Completo'!I14</f>
        <v>4.8</v>
      </c>
      <c r="J14" s="9">
        <f>'Restauración Completo'!J14</f>
        <v>1</v>
      </c>
      <c r="K14" s="9">
        <f>'Restauración Completo'!K14</f>
        <v>14</v>
      </c>
      <c r="L14" s="9">
        <f>'Restauración Completo'!L14</f>
        <v>50</v>
      </c>
      <c r="M14" s="9">
        <f>'Restauración Completo'!M14</f>
        <v>0</v>
      </c>
      <c r="N14" s="9">
        <f>'Restauración Completo'!N14</f>
        <v>0</v>
      </c>
      <c r="O14" s="9">
        <f>'Restauración Completo'!O14</f>
        <v>25</v>
      </c>
      <c r="P14" s="9">
        <f>'Restauración Completo'!P14</f>
        <v>910</v>
      </c>
      <c r="Q14" s="9">
        <f>'Restauración Completo'!Q14</f>
        <v>0</v>
      </c>
      <c r="R14" s="9">
        <f>'Restauración Completo'!R14</f>
        <v>0</v>
      </c>
      <c r="S14" s="9">
        <f>'Restauración Completo'!S14</f>
        <v>0</v>
      </c>
      <c r="T14" s="9">
        <f>'Restauración Completo'!T14</f>
        <v>8.245054945054944</v>
      </c>
      <c r="U14" s="9">
        <f>'Restauración Completo'!U14</f>
        <v>18.60112774296079</v>
      </c>
      <c r="V14" s="9">
        <f>'Restauración Completo'!V14</f>
        <v>5.4945054945054945</v>
      </c>
      <c r="W14" s="9">
        <f>'Restauración Completo'!W14</f>
        <v>0</v>
      </c>
      <c r="X14" s="9">
        <f>'Restauración Completo'!X14</f>
        <v>0</v>
      </c>
      <c r="Y14" s="9">
        <f>'Restauración Completo'!Y14</f>
        <v>2.7472527472527473</v>
      </c>
      <c r="Z14" s="9">
        <f>'Restauración Completo'!Z14</f>
        <v>3.5253317249698433</v>
      </c>
      <c r="AA14" s="9">
        <f>'Restauración Completo'!AA14</f>
        <v>1.4976047904191616</v>
      </c>
      <c r="AB14" s="9">
        <f>'Restauración Completo'!AB14</f>
        <v>750.3</v>
      </c>
      <c r="AC14" s="9">
        <f>'Restauración Completo'!AC14</f>
        <v>750.3</v>
      </c>
      <c r="AD14" s="9">
        <f>'Restauración Completo'!AD14</f>
        <v>2.9892430278884463</v>
      </c>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row>
    <row r="15">
      <c r="A15" s="10">
        <f>'Restauración Completo'!A15</f>
        <v>49</v>
      </c>
      <c r="B15" s="10" t="str">
        <f>'Restauración Completo'!B15</f>
        <v>Restauración</v>
      </c>
      <c r="C15" s="10" t="str">
        <f>'Restauración Completo'!C15</f>
        <v>Infanta Sevilla</v>
      </c>
      <c r="D15" s="10" t="str">
        <f>'Restauración Completo'!D15</f>
        <v>Tripadvisor</v>
      </c>
      <c r="E15" s="9">
        <f>'Restauración Completo'!E15</f>
        <v>1871</v>
      </c>
      <c r="F15" s="9">
        <f>'Restauración Completo'!F15</f>
        <v>291</v>
      </c>
      <c r="G15" s="9">
        <f>'Restauración Completo'!G15</f>
        <v>4.7</v>
      </c>
      <c r="H15" s="9">
        <f>'Restauración Completo'!H15</f>
        <v>4.9</v>
      </c>
      <c r="I15" s="9">
        <f>'Restauración Completo'!I15</f>
        <v>4.726919518963922</v>
      </c>
      <c r="J15" s="9">
        <f>'Restauración Completo'!J15</f>
        <v>1</v>
      </c>
      <c r="K15" s="9">
        <f>'Restauración Completo'!K15</f>
        <v>16</v>
      </c>
      <c r="L15" s="9">
        <f>'Restauración Completo'!L15</f>
        <v>8</v>
      </c>
      <c r="M15" s="9">
        <f>'Restauración Completo'!M15</f>
        <v>33</v>
      </c>
      <c r="N15" s="9">
        <f>'Restauración Completo'!N15</f>
        <v>33</v>
      </c>
      <c r="O15" s="9">
        <f>'Restauración Completo'!O15</f>
        <v>20.500000000000004</v>
      </c>
      <c r="P15" s="9">
        <f>'Restauración Completo'!P15</f>
        <v>4440</v>
      </c>
      <c r="Q15" s="9">
        <f>'Restauración Completo'!Q15</f>
        <v>0.20000000000000018</v>
      </c>
      <c r="R15" s="9">
        <f>'Restauración Completo'!R15</f>
        <v>0.026919518963921973</v>
      </c>
      <c r="S15" s="9">
        <f>'Restauración Completo'!S15</f>
        <v>0.1730804810360782</v>
      </c>
      <c r="T15" s="9">
        <f>'Restauración Completo'!T15</f>
        <v>0.48693693693693696</v>
      </c>
      <c r="U15" s="9">
        <f>'Restauración Completo'!U15</f>
        <v>15.763594452179866</v>
      </c>
      <c r="V15" s="9">
        <f>'Restauración Completo'!V15</f>
        <v>0.18018018018018017</v>
      </c>
      <c r="W15" s="9">
        <f>'Restauración Completo'!W15</f>
        <v>0.7432432432432433</v>
      </c>
      <c r="X15" s="9">
        <f>'Restauración Completo'!X15</f>
        <v>0.7432432432432433</v>
      </c>
      <c r="Y15" s="9">
        <f>'Restauración Completo'!Y15</f>
        <v>0.46171171171171177</v>
      </c>
      <c r="Z15" s="9">
        <f>'Restauración Completo'!Z15</f>
        <v>6.429553264604811</v>
      </c>
      <c r="AA15" s="9">
        <f>'Restauración Completo'!AA15</f>
        <v>2.669135802469136</v>
      </c>
      <c r="AB15" s="9">
        <f>'Restauración Completo'!AB15</f>
        <v>0.6531722054380664</v>
      </c>
      <c r="AC15" s="9">
        <f>'Restauración Completo'!AC15</f>
        <v>0.6531722054380664</v>
      </c>
      <c r="AD15" s="9">
        <f>'Restauración Completo'!AD15</f>
        <v>1.049514563106796</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c r="A16" s="10">
        <f>'Restauración Completo'!A16</f>
        <v>50</v>
      </c>
      <c r="B16" s="10" t="str">
        <f>'Restauración Completo'!B16</f>
        <v>Restauración</v>
      </c>
      <c r="C16" s="10" t="str">
        <f>'Restauración Completo'!C16</f>
        <v>La Santa</v>
      </c>
      <c r="D16" s="10" t="str">
        <f>'Restauración Completo'!D16</f>
        <v>Tripadvisor</v>
      </c>
      <c r="E16" s="9">
        <f>'Restauración Completo'!E16</f>
        <v>2593</v>
      </c>
      <c r="F16" s="9">
        <f>'Restauración Completo'!F16</f>
        <v>940</v>
      </c>
      <c r="G16" s="9">
        <f>'Restauración Completo'!G16</f>
        <v>4.7</v>
      </c>
      <c r="H16" s="9">
        <f>'Restauración Completo'!H16</f>
        <v>4.8</v>
      </c>
      <c r="I16" s="9">
        <f>'Restauración Completo'!I16</f>
        <v>4.726606283611661</v>
      </c>
      <c r="J16" s="9">
        <f>'Restauración Completo'!J16</f>
        <v>1</v>
      </c>
      <c r="K16" s="9">
        <f>'Restauración Completo'!K16</f>
        <v>17</v>
      </c>
      <c r="L16" s="9">
        <f>'Restauración Completo'!L16</f>
        <v>100</v>
      </c>
      <c r="M16" s="9">
        <f>'Restauración Completo'!M16</f>
        <v>25</v>
      </c>
      <c r="N16" s="9">
        <f>'Restauración Completo'!N16</f>
        <v>16</v>
      </c>
      <c r="O16" s="9">
        <f>'Restauración Completo'!O16</f>
        <v>61.6</v>
      </c>
      <c r="P16" s="9">
        <f>'Restauración Completo'!P16</f>
        <v>900</v>
      </c>
      <c r="Q16" s="9">
        <f>'Restauración Completo'!Q16</f>
        <v>0.09999999999999964</v>
      </c>
      <c r="R16" s="9">
        <f>'Restauración Completo'!R16</f>
        <v>0.02660628361166051</v>
      </c>
      <c r="S16" s="9">
        <f>'Restauración Completo'!S16</f>
        <v>0.07339371638833914</v>
      </c>
      <c r="T16" s="9">
        <f>'Restauración Completo'!T16</f>
        <v>3.9255555555555555</v>
      </c>
      <c r="U16" s="9">
        <f>'Restauración Completo'!U16</f>
        <v>16.770678011856273</v>
      </c>
      <c r="V16" s="9">
        <f>'Restauración Completo'!V16</f>
        <v>11.11111111111111</v>
      </c>
      <c r="W16" s="9">
        <f>'Restauración Completo'!W16</f>
        <v>2.7777777777777777</v>
      </c>
      <c r="X16" s="9">
        <f>'Restauración Completo'!X16</f>
        <v>1.7777777777777777</v>
      </c>
      <c r="Y16" s="9">
        <f>'Restauración Completo'!Y16</f>
        <v>6.844444444444445</v>
      </c>
      <c r="Z16" s="9">
        <f>'Restauración Completo'!Z16</f>
        <v>2.758510638297872</v>
      </c>
      <c r="AA16" s="9">
        <f>'Restauración Completo'!AA16</f>
        <v>0.352947052947053</v>
      </c>
      <c r="AB16" s="9">
        <f>'Restauración Completo'!AB16</f>
        <v>1.4075697211155378</v>
      </c>
      <c r="AC16" s="9">
        <f>'Restauración Completo'!AC16</f>
        <v>2.1944099378881985</v>
      </c>
      <c r="AD16" s="9">
        <f>'Restauración Completo'!AD16</f>
        <v>0.5726094003241491</v>
      </c>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row>
    <row r="17">
      <c r="A17" s="10">
        <f>'Restauración Completo'!A17</f>
        <v>51</v>
      </c>
      <c r="B17" s="10" t="str">
        <f>'Restauración Completo'!B17</f>
        <v>Restauración</v>
      </c>
      <c r="C17" s="10" t="str">
        <f>'Restauración Completo'!C17</f>
        <v>Mokambo (Alfalfa)</v>
      </c>
      <c r="D17" s="10" t="str">
        <f>'Restauración Completo'!D17</f>
        <v>Tripadvisor</v>
      </c>
      <c r="E17" s="9">
        <f>'Restauración Completo'!E17</f>
        <v>3445</v>
      </c>
      <c r="F17" s="9">
        <f>'Restauración Completo'!F17</f>
        <v>722</v>
      </c>
      <c r="G17" s="9">
        <f>'Restauración Completo'!G17</f>
        <v>4.8</v>
      </c>
      <c r="H17" s="9">
        <f>'Restauración Completo'!H17</f>
        <v>4.9</v>
      </c>
      <c r="I17" s="9">
        <f>'Restauración Completo'!I17</f>
        <v>4.817326613870891</v>
      </c>
      <c r="J17" s="9">
        <f>'Restauración Completo'!J17</f>
        <v>1</v>
      </c>
      <c r="K17" s="9">
        <f>'Restauración Completo'!K17</f>
        <v>18</v>
      </c>
      <c r="L17" s="9">
        <f>'Restauración Completo'!L17</f>
        <v>0</v>
      </c>
      <c r="M17" s="9">
        <f>'Restauración Completo'!M17</f>
        <v>0</v>
      </c>
      <c r="N17" s="9">
        <f>'Restauración Completo'!N17</f>
        <v>0</v>
      </c>
      <c r="O17" s="9">
        <f>'Restauración Completo'!O17</f>
        <v>0</v>
      </c>
      <c r="P17" s="9">
        <f>'Restauración Completo'!P17</f>
        <v>526</v>
      </c>
      <c r="Q17" s="9">
        <f>'Restauración Completo'!Q17</f>
        <v>0.10000000000000053</v>
      </c>
      <c r="R17" s="9">
        <f>'Restauración Completo'!R17</f>
        <v>0.01732661387089074</v>
      </c>
      <c r="S17" s="9">
        <f>'Restauración Completo'!S17</f>
        <v>0.0826733861291098</v>
      </c>
      <c r="T17" s="9">
        <f>'Restauración Completo'!T17</f>
        <v>7.922053231939164</v>
      </c>
      <c r="U17" s="9">
        <f>'Restauración Completo'!U17</f>
        <v>17.437872086268133</v>
      </c>
      <c r="V17" s="9">
        <f>'Restauración Completo'!V17</f>
        <v>0</v>
      </c>
      <c r="W17" s="9">
        <f>'Restauración Completo'!W17</f>
        <v>0</v>
      </c>
      <c r="X17" s="9">
        <f>'Restauración Completo'!X17</f>
        <v>0</v>
      </c>
      <c r="Y17" s="9">
        <f>'Restauración Completo'!Y17</f>
        <v>0</v>
      </c>
      <c r="Z17" s="9">
        <f>'Restauración Completo'!Z17</f>
        <v>4.771468144044321</v>
      </c>
      <c r="AA17" s="9">
        <f>'Restauración Completo'!AA17</f>
        <v>416.7</v>
      </c>
      <c r="AB17" s="9">
        <f>'Restauración Completo'!AB17</f>
        <v>416.7</v>
      </c>
      <c r="AC17" s="9">
        <f>'Restauración Completo'!AC17</f>
        <v>416.7</v>
      </c>
      <c r="AD17" s="9">
        <f>'Restauración Completo'!AD17</f>
        <v>416.7</v>
      </c>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c r="A18" s="10">
        <f>'Restauración Completo'!A18</f>
        <v>52</v>
      </c>
      <c r="B18" s="10" t="str">
        <f>'Restauración Completo'!B18</f>
        <v>Restauración</v>
      </c>
      <c r="C18" s="10" t="str">
        <f>'Restauración Completo'!C18</f>
        <v>L' Orangier Cocina Casera</v>
      </c>
      <c r="D18" s="10" t="str">
        <f>'Restauración Completo'!D18</f>
        <v>Tripadvisor</v>
      </c>
      <c r="E18" s="9">
        <f>'Restauración Completo'!E18</f>
        <v>2227</v>
      </c>
      <c r="F18" s="9">
        <f>'Restauración Completo'!F18</f>
        <v>1602</v>
      </c>
      <c r="G18" s="9">
        <f>'Restauración Completo'!G18</f>
        <v>4.4</v>
      </c>
      <c r="H18" s="9">
        <f>'Restauración Completo'!H18</f>
        <v>4.7</v>
      </c>
      <c r="I18" s="9">
        <f>'Restauración Completo'!I18</f>
        <v>4.525515800470097</v>
      </c>
      <c r="J18" s="9">
        <f>'Restauración Completo'!J18</f>
        <v>1</v>
      </c>
      <c r="K18" s="9">
        <f>'Restauración Completo'!K18</f>
        <v>19</v>
      </c>
      <c r="L18" s="9">
        <f>'Restauración Completo'!L18</f>
        <v>108</v>
      </c>
      <c r="M18" s="9">
        <f>'Restauración Completo'!M18</f>
        <v>25</v>
      </c>
      <c r="N18" s="9">
        <f>'Restauración Completo'!N18</f>
        <v>16</v>
      </c>
      <c r="O18" s="9">
        <f>'Restauración Completo'!O18</f>
        <v>65.6</v>
      </c>
      <c r="P18" s="9">
        <f>'Restauración Completo'!P18</f>
        <v>2580</v>
      </c>
      <c r="Q18" s="9">
        <f>'Restauración Completo'!Q18</f>
        <v>0.2999999999999998</v>
      </c>
      <c r="R18" s="9">
        <f>'Restauración Completo'!R18</f>
        <v>0.12551580047009647</v>
      </c>
      <c r="S18" s="9">
        <f>'Restauración Completo'!S18</f>
        <v>0.17448419952990335</v>
      </c>
      <c r="T18" s="9">
        <f>'Restauración Completo'!T18</f>
        <v>1.4841085271317829</v>
      </c>
      <c r="U18" s="9">
        <f>'Restauración Completo'!U18</f>
        <v>16.215309439839647</v>
      </c>
      <c r="V18" s="9">
        <f>'Restauración Completo'!V18</f>
        <v>4.186046511627907</v>
      </c>
      <c r="W18" s="9">
        <f>'Restauración Completo'!W18</f>
        <v>0.9689922480620154</v>
      </c>
      <c r="X18" s="9">
        <f>'Restauración Completo'!X18</f>
        <v>0.6201550387596899</v>
      </c>
      <c r="Y18" s="9">
        <f>'Restauración Completo'!Y18</f>
        <v>2.5426356589147283</v>
      </c>
      <c r="Z18" s="9">
        <f>'Restauración Completo'!Z18</f>
        <v>1.3901373283395755</v>
      </c>
      <c r="AA18" s="9">
        <f>'Restauración Completo'!AA18</f>
        <v>0.35420906567992605</v>
      </c>
      <c r="AB18" s="9">
        <f>'Restauración Completo'!AB18</f>
        <v>1.5254980079681275</v>
      </c>
      <c r="AC18" s="9">
        <f>'Restauración Completo'!AC18</f>
        <v>2.378260869565217</v>
      </c>
      <c r="AD18" s="9">
        <f>'Restauración Completo'!AD18</f>
        <v>0.5828006088280062</v>
      </c>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row>
    <row r="19">
      <c r="A19" s="10">
        <f>'Restauración Completo'!A19</f>
        <v>53</v>
      </c>
      <c r="B19" s="10" t="str">
        <f>'Restauración Completo'!B19</f>
        <v>Restauración</v>
      </c>
      <c r="C19" s="10" t="str">
        <f>'Restauración Completo'!C19</f>
        <v>Vuela Tapas &amp; Cocktails</v>
      </c>
      <c r="D19" s="10" t="str">
        <f>'Restauración Completo'!D19</f>
        <v>Tripadvisor</v>
      </c>
      <c r="E19" s="9">
        <f>'Restauración Completo'!E19</f>
        <v>1849</v>
      </c>
      <c r="F19" s="9">
        <f>'Restauración Completo'!F19</f>
        <v>382</v>
      </c>
      <c r="G19" s="9">
        <f>'Restauración Completo'!G19</f>
        <v>4.8</v>
      </c>
      <c r="H19" s="9">
        <f>'Restauración Completo'!H19</f>
        <v>4.9</v>
      </c>
      <c r="I19" s="9">
        <f>'Restauración Completo'!I19</f>
        <v>4.817122366651725</v>
      </c>
      <c r="J19" s="9">
        <f>'Restauración Completo'!J19</f>
        <v>1</v>
      </c>
      <c r="K19" s="9">
        <f>'Restauración Completo'!K19</f>
        <v>20</v>
      </c>
      <c r="L19" s="9">
        <f>'Restauración Completo'!L19</f>
        <v>0</v>
      </c>
      <c r="M19" s="9">
        <f>'Restauración Completo'!M19</f>
        <v>0</v>
      </c>
      <c r="N19" s="9">
        <f>'Restauración Completo'!N19</f>
        <v>0</v>
      </c>
      <c r="O19" s="9">
        <f>'Restauración Completo'!O19</f>
        <v>0</v>
      </c>
      <c r="P19" s="9">
        <f>'Restauración Completo'!P19</f>
        <v>244</v>
      </c>
      <c r="Q19" s="9">
        <f>'Restauración Completo'!Q19</f>
        <v>0.10000000000000053</v>
      </c>
      <c r="R19" s="9">
        <f>'Restauración Completo'!R19</f>
        <v>0.017122366651725507</v>
      </c>
      <c r="S19" s="9">
        <f>'Restauración Completo'!S19</f>
        <v>0.08287763334827503</v>
      </c>
      <c r="T19" s="9">
        <f>'Restauración Completo'!T19</f>
        <v>9.14344262295082</v>
      </c>
      <c r="U19" s="9">
        <f>'Restauración Completo'!U19</f>
        <v>16.130132174737966</v>
      </c>
      <c r="V19" s="9">
        <f>'Restauración Completo'!V19</f>
        <v>0</v>
      </c>
      <c r="W19" s="9">
        <f>'Restauración Completo'!W19</f>
        <v>0</v>
      </c>
      <c r="X19" s="9">
        <f>'Restauración Completo'!X19</f>
        <v>0</v>
      </c>
      <c r="Y19" s="9">
        <f>'Restauración Completo'!Y19</f>
        <v>0</v>
      </c>
      <c r="Z19" s="9">
        <f>'Restauración Completo'!Z19</f>
        <v>4.840314136125654</v>
      </c>
      <c r="AA19" s="9">
        <f>'Restauración Completo'!AA19</f>
        <v>223.1</v>
      </c>
      <c r="AB19" s="9">
        <f>'Restauración Completo'!AB19</f>
        <v>223.1</v>
      </c>
      <c r="AC19" s="9">
        <f>'Restauración Completo'!AC19</f>
        <v>223.1</v>
      </c>
      <c r="AD19" s="9">
        <f>'Restauración Completo'!AD19</f>
        <v>223.1</v>
      </c>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row>
    <row r="20">
      <c r="A20" s="10">
        <f>'Restauración Completo'!A20</f>
        <v>54</v>
      </c>
      <c r="B20" s="10" t="str">
        <f>'Restauración Completo'!B20</f>
        <v>Restauración</v>
      </c>
      <c r="C20" s="10" t="str">
        <f>'Restauración Completo'!C20</f>
        <v>Bollywood Indian Restaurant</v>
      </c>
      <c r="D20" s="10" t="str">
        <f>'Restauración Completo'!D20</f>
        <v>Tripadvisor</v>
      </c>
      <c r="E20" s="9">
        <f>'Restauración Completo'!E20</f>
        <v>4816</v>
      </c>
      <c r="F20" s="9">
        <f>'Restauración Completo'!F20</f>
        <v>874</v>
      </c>
      <c r="G20" s="9">
        <f>'Restauración Completo'!G20</f>
        <v>4.8</v>
      </c>
      <c r="H20" s="9">
        <f>'Restauración Completo'!H20</f>
        <v>4.8</v>
      </c>
      <c r="I20" s="9">
        <f>'Restauración Completo'!I20</f>
        <v>4.8</v>
      </c>
      <c r="J20" s="9">
        <f>'Restauración Completo'!J20</f>
        <v>1</v>
      </c>
      <c r="K20" s="9">
        <f>'Restauración Completo'!K20</f>
        <v>21</v>
      </c>
      <c r="L20" s="9">
        <f>'Restauración Completo'!L20</f>
        <v>0</v>
      </c>
      <c r="M20" s="9">
        <f>'Restauración Completo'!M20</f>
        <v>0</v>
      </c>
      <c r="N20" s="9">
        <f>'Restauración Completo'!N20</f>
        <v>0</v>
      </c>
      <c r="O20" s="9">
        <f>'Restauración Completo'!O20</f>
        <v>0</v>
      </c>
      <c r="P20" s="9">
        <f>'Restauración Completo'!P20</f>
        <v>1940</v>
      </c>
      <c r="Q20" s="9">
        <f>'Restauración Completo'!Q20</f>
        <v>0</v>
      </c>
      <c r="R20" s="9">
        <f>'Restauración Completo'!R20</f>
        <v>0</v>
      </c>
      <c r="S20" s="9">
        <f>'Restauración Completo'!S20</f>
        <v>0</v>
      </c>
      <c r="T20" s="9">
        <f>'Restauración Completo'!T20</f>
        <v>2.9329896907216493</v>
      </c>
      <c r="U20" s="9">
        <f>'Restauración Completo'!U20</f>
        <v>18.02453887869634</v>
      </c>
      <c r="V20" s="9">
        <f>'Restauración Completo'!V20</f>
        <v>0</v>
      </c>
      <c r="W20" s="9">
        <f>'Restauración Completo'!W20</f>
        <v>0</v>
      </c>
      <c r="X20" s="9">
        <f>'Restauración Completo'!X20</f>
        <v>0</v>
      </c>
      <c r="Y20" s="9">
        <f>'Restauración Completo'!Y20</f>
        <v>0</v>
      </c>
      <c r="Z20" s="9">
        <f>'Restauración Completo'!Z20</f>
        <v>5.510297482837529</v>
      </c>
      <c r="AA20" s="9">
        <f>'Restauración Completo'!AA20</f>
        <v>569</v>
      </c>
      <c r="AB20" s="9">
        <f>'Restauración Completo'!AB20</f>
        <v>569</v>
      </c>
      <c r="AC20" s="9">
        <f>'Restauración Completo'!AC20</f>
        <v>569</v>
      </c>
      <c r="AD20" s="9">
        <f>'Restauración Completo'!AD20</f>
        <v>569</v>
      </c>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row>
    <row r="21">
      <c r="A21" s="10">
        <f>'Restauración Completo'!A21</f>
        <v>55</v>
      </c>
      <c r="B21" s="10" t="str">
        <f>'Restauración Completo'!B21</f>
        <v>Restauración</v>
      </c>
      <c r="C21" s="10" t="str">
        <f>'Restauración Completo'!C21</f>
        <v>Street Food Burger Bermejales</v>
      </c>
      <c r="D21" s="10" t="str">
        <f>'Restauración Completo'!D21</f>
        <v>Tripadvisor</v>
      </c>
      <c r="E21" s="9">
        <f>'Restauración Completo'!E21</f>
        <v>4721</v>
      </c>
      <c r="F21" s="9">
        <f>'Restauración Completo'!F21</f>
        <v>418</v>
      </c>
      <c r="G21" s="9">
        <f>'Restauración Completo'!G21</f>
        <v>4.7</v>
      </c>
      <c r="H21" s="9">
        <f>'Restauración Completo'!H21</f>
        <v>4.8</v>
      </c>
      <c r="I21" s="9">
        <f>'Restauración Completo'!I21</f>
        <v>4.708133878186418</v>
      </c>
      <c r="J21" s="9">
        <f>'Restauración Completo'!J21</f>
        <v>1</v>
      </c>
      <c r="K21" s="9">
        <f>'Restauración Completo'!K21</f>
        <v>22</v>
      </c>
      <c r="L21" s="9">
        <f>'Restauración Completo'!L21</f>
        <v>0</v>
      </c>
      <c r="M21" s="9">
        <f>'Restauración Completo'!M21</f>
        <v>0</v>
      </c>
      <c r="N21" s="9">
        <f>'Restauración Completo'!N21</f>
        <v>0</v>
      </c>
      <c r="O21" s="9">
        <f>'Restauración Completo'!O21</f>
        <v>0</v>
      </c>
      <c r="P21" s="9">
        <f>'Restauración Completo'!P21</f>
        <v>4680</v>
      </c>
      <c r="Q21" s="9">
        <f>'Restauración Completo'!Q21</f>
        <v>0.09999999999999964</v>
      </c>
      <c r="R21" s="9">
        <f>'Restauración Completo'!R21</f>
        <v>0.008133878186417753</v>
      </c>
      <c r="S21" s="9">
        <f>'Restauración Completo'!S21</f>
        <v>0.09186612181358189</v>
      </c>
      <c r="T21" s="9">
        <f>'Restauración Completo'!T21</f>
        <v>1.0980769230769232</v>
      </c>
      <c r="U21" s="9">
        <f>'Restauración Completo'!U21</f>
        <v>17.471313337761146</v>
      </c>
      <c r="V21" s="9">
        <f>'Restauración Completo'!V21</f>
        <v>0</v>
      </c>
      <c r="W21" s="9">
        <f>'Restauración Completo'!W21</f>
        <v>0</v>
      </c>
      <c r="X21" s="9">
        <f>'Restauración Completo'!X21</f>
        <v>0</v>
      </c>
      <c r="Y21" s="9">
        <f>'Restauración Completo'!Y21</f>
        <v>0</v>
      </c>
      <c r="Z21" s="9">
        <f>'Restauración Completo'!Z21</f>
        <v>11.294258373205741</v>
      </c>
      <c r="AA21" s="9">
        <f>'Restauración Completo'!AA21</f>
        <v>513.9</v>
      </c>
      <c r="AB21" s="9">
        <f>'Restauración Completo'!AB21</f>
        <v>513.9</v>
      </c>
      <c r="AC21" s="9">
        <f>'Restauración Completo'!AC21</f>
        <v>513.9</v>
      </c>
      <c r="AD21" s="9">
        <f>'Restauración Completo'!AD21</f>
        <v>513.9</v>
      </c>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row>
    <row r="22">
      <c r="A22" s="10">
        <f>'Restauración Completo'!A22</f>
        <v>56</v>
      </c>
      <c r="B22" s="10" t="str">
        <f>'Restauración Completo'!B22</f>
        <v>Restauración</v>
      </c>
      <c r="C22" s="10" t="str">
        <f>'Restauración Completo'!C22</f>
        <v>Donaire Azabache (Archivos)</v>
      </c>
      <c r="D22" s="10" t="str">
        <f>'Restauración Completo'!D22</f>
        <v>Tripadvisor</v>
      </c>
      <c r="E22" s="9">
        <f>'Restauración Completo'!E22</f>
        <v>1750</v>
      </c>
      <c r="F22" s="9">
        <f>'Restauración Completo'!F22</f>
        <v>2399</v>
      </c>
      <c r="G22" s="9">
        <f>'Restauración Completo'!G22</f>
        <v>4.3</v>
      </c>
      <c r="H22" s="9">
        <f>'Restauración Completo'!H22</f>
        <v>4.7</v>
      </c>
      <c r="I22" s="9">
        <f>'Restauración Completo'!I22</f>
        <v>4.5312846469028685</v>
      </c>
      <c r="J22" s="9">
        <f>'Restauración Completo'!J22</f>
        <v>1</v>
      </c>
      <c r="K22" s="9">
        <f>'Restauración Completo'!K22</f>
        <v>23</v>
      </c>
      <c r="L22" s="9">
        <f>'Restauración Completo'!L22</f>
        <v>0</v>
      </c>
      <c r="M22" s="9">
        <f>'Restauración Completo'!M22</f>
        <v>0</v>
      </c>
      <c r="N22" s="9">
        <f>'Restauración Completo'!N22</f>
        <v>0</v>
      </c>
      <c r="O22" s="9">
        <f>'Restauración Completo'!O22</f>
        <v>0</v>
      </c>
      <c r="P22" s="9">
        <f>'Restauración Completo'!P22</f>
        <v>227</v>
      </c>
      <c r="Q22" s="9">
        <f>'Restauración Completo'!Q22</f>
        <v>0.40000000000000036</v>
      </c>
      <c r="R22" s="9">
        <f>'Restauración Completo'!R22</f>
        <v>0.23128464690286865</v>
      </c>
      <c r="S22" s="9">
        <f>'Restauración Completo'!S22</f>
        <v>0.1687153530971317</v>
      </c>
      <c r="T22" s="9">
        <f>'Restauración Completo'!T22</f>
        <v>18.277533039647576</v>
      </c>
      <c r="U22" s="9">
        <f>'Restauración Completo'!U22</f>
        <v>16.393931539603553</v>
      </c>
      <c r="V22" s="9">
        <f>'Restauración Completo'!V22</f>
        <v>0</v>
      </c>
      <c r="W22" s="9">
        <f>'Restauración Completo'!W22</f>
        <v>0</v>
      </c>
      <c r="X22" s="9">
        <f>'Restauración Completo'!X22</f>
        <v>0</v>
      </c>
      <c r="Y22" s="9">
        <f>'Restauración Completo'!Y22</f>
        <v>0</v>
      </c>
      <c r="Z22" s="9">
        <f>'Restauración Completo'!Z22</f>
        <v>0.7294706127553147</v>
      </c>
      <c r="AA22" s="9">
        <f>'Restauración Completo'!AA22</f>
        <v>414.9</v>
      </c>
      <c r="AB22" s="9">
        <f>'Restauración Completo'!AB22</f>
        <v>414.9</v>
      </c>
      <c r="AC22" s="9">
        <f>'Restauración Completo'!AC22</f>
        <v>414.9</v>
      </c>
      <c r="AD22" s="9">
        <f>'Restauración Completo'!AD22</f>
        <v>414.9</v>
      </c>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row>
    <row r="23">
      <c r="A23" s="10">
        <f>'Restauración Completo'!A23</f>
        <v>57</v>
      </c>
      <c r="B23" s="10" t="str">
        <f>'Restauración Completo'!B23</f>
        <v>Restauración</v>
      </c>
      <c r="C23" s="10" t="str">
        <f>'Restauración Completo'!C23</f>
        <v>La Madriguera De Mai</v>
      </c>
      <c r="D23" s="10" t="str">
        <f>'Restauración Completo'!D23</f>
        <v>Tripadvisor</v>
      </c>
      <c r="E23" s="9">
        <f>'Restauración Completo'!E23</f>
        <v>1151</v>
      </c>
      <c r="F23" s="9">
        <f>'Restauración Completo'!F23</f>
        <v>211</v>
      </c>
      <c r="G23" s="9">
        <f>'Restauración Completo'!G23</f>
        <v>4.8</v>
      </c>
      <c r="H23" s="9">
        <f>'Restauración Completo'!H23</f>
        <v>4.8</v>
      </c>
      <c r="I23" s="9">
        <f>'Restauración Completo'!I23</f>
        <v>4.800000000000001</v>
      </c>
      <c r="J23" s="9">
        <f>'Restauración Completo'!J23</f>
        <v>1</v>
      </c>
      <c r="K23" s="9">
        <f>'Restauración Completo'!K23</f>
        <v>25</v>
      </c>
      <c r="L23" s="9">
        <f>'Restauración Completo'!L23</f>
        <v>0</v>
      </c>
      <c r="M23" s="9">
        <f>'Restauración Completo'!M23</f>
        <v>0</v>
      </c>
      <c r="N23" s="9">
        <f>'Restauración Completo'!N23</f>
        <v>0</v>
      </c>
      <c r="O23" s="9">
        <f>'Restauración Completo'!O23</f>
        <v>0</v>
      </c>
      <c r="P23" s="9">
        <f>'Restauración Completo'!P23</f>
        <v>1500</v>
      </c>
      <c r="Q23" s="9">
        <f>'Restauración Completo'!Q23</f>
        <v>0</v>
      </c>
      <c r="R23" s="9">
        <f>'Restauración Completo'!R23</f>
        <v>8.881784197001252E-16</v>
      </c>
      <c r="S23" s="9">
        <f>'Restauración Completo'!S23</f>
        <v>8.881784197001252E-16</v>
      </c>
      <c r="T23" s="9">
        <f>'Restauración Completo'!T23</f>
        <v>0.908</v>
      </c>
      <c r="U23" s="9">
        <f>'Restauración Completo'!U23</f>
        <v>15.044050116368481</v>
      </c>
      <c r="V23" s="9">
        <f>'Restauración Completo'!V23</f>
        <v>0</v>
      </c>
      <c r="W23" s="9">
        <f>'Restauración Completo'!W23</f>
        <v>0</v>
      </c>
      <c r="X23" s="9">
        <f>'Restauración Completo'!X23</f>
        <v>0</v>
      </c>
      <c r="Y23" s="9">
        <f>'Restauración Completo'!Y23</f>
        <v>0</v>
      </c>
      <c r="Z23" s="9">
        <f>'Restauración Completo'!Z23</f>
        <v>5.454976303317536</v>
      </c>
      <c r="AA23" s="9">
        <f>'Restauración Completo'!AA23</f>
        <v>136.2</v>
      </c>
      <c r="AB23" s="9">
        <f>'Restauración Completo'!AB23</f>
        <v>136.2</v>
      </c>
      <c r="AC23" s="9">
        <f>'Restauración Completo'!AC23</f>
        <v>136.2</v>
      </c>
      <c r="AD23" s="9">
        <f>'Restauración Completo'!AD23</f>
        <v>136.2</v>
      </c>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row>
    <row r="24">
      <c r="A24" s="10">
        <f>'Restauración Completo'!A24</f>
        <v>58</v>
      </c>
      <c r="B24" s="10" t="str">
        <f>'Restauración Completo'!B24</f>
        <v>Restauración</v>
      </c>
      <c r="C24" s="10" t="str">
        <f>'Restauración Completo'!C24</f>
        <v>La Sede</v>
      </c>
      <c r="D24" s="10" t="str">
        <f>'Restauración Completo'!D24</f>
        <v>Tripadvisor</v>
      </c>
      <c r="E24" s="9">
        <f>'Restauración Completo'!E24</f>
        <v>807</v>
      </c>
      <c r="F24" s="9">
        <f>'Restauración Completo'!F24</f>
        <v>891</v>
      </c>
      <c r="G24" s="9">
        <f>'Restauración Completo'!G24</f>
        <v>4.7</v>
      </c>
      <c r="H24" s="9">
        <f>'Restauración Completo'!H24</f>
        <v>4.9</v>
      </c>
      <c r="I24" s="9">
        <f>'Restauración Completo'!I24</f>
        <v>4.804946996466431</v>
      </c>
      <c r="J24" s="9">
        <f>'Restauración Completo'!J24</f>
        <v>1</v>
      </c>
      <c r="K24" s="9">
        <f>'Restauración Completo'!K24</f>
        <v>26</v>
      </c>
      <c r="L24" s="9">
        <f>'Restauración Completo'!L24</f>
        <v>0</v>
      </c>
      <c r="M24" s="9">
        <f>'Restauración Completo'!M24</f>
        <v>16</v>
      </c>
      <c r="N24" s="9">
        <f>'Restauración Completo'!N24</f>
        <v>0</v>
      </c>
      <c r="O24" s="9">
        <f>'Restauración Completo'!O24</f>
        <v>6.4</v>
      </c>
      <c r="P24" s="9">
        <f>'Restauración Completo'!P24</f>
        <v>869</v>
      </c>
      <c r="Q24" s="9">
        <f>'Restauración Completo'!Q24</f>
        <v>0.20000000000000018</v>
      </c>
      <c r="R24" s="9">
        <f>'Restauración Completo'!R24</f>
        <v>0.10494699646643113</v>
      </c>
      <c r="S24" s="9">
        <f>'Restauración Completo'!S24</f>
        <v>0.09505300353356905</v>
      </c>
      <c r="T24" s="9">
        <f>'Restauración Completo'!T24</f>
        <v>1.953970080552359</v>
      </c>
      <c r="U24" s="9">
        <f>'Restauración Completo'!U24</f>
        <v>15.519679382677063</v>
      </c>
      <c r="V24" s="9">
        <f>'Restauración Completo'!V24</f>
        <v>0</v>
      </c>
      <c r="W24" s="9">
        <f>'Restauración Completo'!W24</f>
        <v>1.8411967779056386</v>
      </c>
      <c r="X24" s="9">
        <f>'Restauración Completo'!X24</f>
        <v>0</v>
      </c>
      <c r="Y24" s="9">
        <f>'Restauración Completo'!Y24</f>
        <v>0.7364787111622555</v>
      </c>
      <c r="Z24" s="9">
        <f>'Restauración Completo'!Z24</f>
        <v>0.9057239057239057</v>
      </c>
      <c r="AA24" s="9">
        <f>'Restauración Completo'!AA24</f>
        <v>169.8</v>
      </c>
      <c r="AB24" s="9">
        <f>'Restauración Completo'!AB24</f>
        <v>1.0546583850931674</v>
      </c>
      <c r="AC24" s="9">
        <f>'Restauración Completo'!AC24</f>
        <v>169.8</v>
      </c>
      <c r="AD24" s="9">
        <f>'Restauración Completo'!AD24</f>
        <v>2.6123076923076924</v>
      </c>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row>
    <row r="25">
      <c r="A25" s="10">
        <f>'Restauración Completo'!A25</f>
        <v>59</v>
      </c>
      <c r="B25" s="10" t="str">
        <f>'Restauración Completo'!B25</f>
        <v>Restauración</v>
      </c>
      <c r="C25" s="10" t="str">
        <f>'Restauración Completo'!C25</f>
        <v>New Royalti By Ismael</v>
      </c>
      <c r="D25" s="10" t="str">
        <f>'Restauración Completo'!D25</f>
        <v>Tripadvisor</v>
      </c>
      <c r="E25" s="9">
        <f>'Restauración Completo'!E25</f>
        <v>1096</v>
      </c>
      <c r="F25" s="9">
        <f>'Restauración Completo'!F25</f>
        <v>476</v>
      </c>
      <c r="G25" s="9">
        <f>'Restauración Completo'!G25</f>
        <v>4.2</v>
      </c>
      <c r="H25" s="9">
        <f>'Restauración Completo'!H25</f>
        <v>4.6</v>
      </c>
      <c r="I25" s="9">
        <f>'Restauración Completo'!I25</f>
        <v>4.321119592875317</v>
      </c>
      <c r="J25" s="9">
        <f>'Restauración Completo'!J25</f>
        <v>1</v>
      </c>
      <c r="K25" s="9">
        <f>'Restauración Completo'!K25</f>
        <v>27</v>
      </c>
      <c r="L25" s="9">
        <f>'Restauración Completo'!L25</f>
        <v>0</v>
      </c>
      <c r="M25" s="9">
        <f>'Restauración Completo'!M25</f>
        <v>0</v>
      </c>
      <c r="N25" s="9">
        <f>'Restauración Completo'!N25</f>
        <v>0</v>
      </c>
      <c r="O25" s="9">
        <f>'Restauración Completo'!O25</f>
        <v>0</v>
      </c>
      <c r="P25" s="9">
        <f>'Restauración Completo'!P25</f>
        <v>1410</v>
      </c>
      <c r="Q25" s="9">
        <f>'Restauración Completo'!Q25</f>
        <v>0.39999999999999947</v>
      </c>
      <c r="R25" s="9">
        <f>'Restauración Completo'!R25</f>
        <v>0.12111959287531704</v>
      </c>
      <c r="S25" s="9">
        <f>'Restauración Completo'!S25</f>
        <v>0.27888040712468243</v>
      </c>
      <c r="T25" s="9">
        <f>'Restauración Completo'!T25</f>
        <v>1.1148936170212767</v>
      </c>
      <c r="U25" s="9">
        <f>'Restauración Completo'!U25</f>
        <v>13.812253705650622</v>
      </c>
      <c r="V25" s="9">
        <f>'Restauración Completo'!V25</f>
        <v>0</v>
      </c>
      <c r="W25" s="9">
        <f>'Restauración Completo'!W25</f>
        <v>0</v>
      </c>
      <c r="X25" s="9">
        <f>'Restauración Completo'!X25</f>
        <v>0</v>
      </c>
      <c r="Y25" s="9">
        <f>'Restauración Completo'!Y25</f>
        <v>0</v>
      </c>
      <c r="Z25" s="9">
        <f>'Restauración Completo'!Z25</f>
        <v>2.302521008403361</v>
      </c>
      <c r="AA25" s="9">
        <f>'Restauración Completo'!AA25</f>
        <v>157.2</v>
      </c>
      <c r="AB25" s="9">
        <f>'Restauración Completo'!AB25</f>
        <v>157.2</v>
      </c>
      <c r="AC25" s="9">
        <f>'Restauración Completo'!AC25</f>
        <v>157.2</v>
      </c>
      <c r="AD25" s="9">
        <f>'Restauración Completo'!AD25</f>
        <v>157.2</v>
      </c>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row>
    <row r="26">
      <c r="A26" s="10">
        <f>'Restauración Completo'!A26</f>
        <v>60</v>
      </c>
      <c r="B26" s="10" t="str">
        <f>'Restauración Completo'!B26</f>
        <v>Restauración</v>
      </c>
      <c r="C26" s="10" t="str">
        <f>'Restauración Completo'!C26</f>
        <v>Pizzeria Da Simona</v>
      </c>
      <c r="D26" s="10" t="str">
        <f>'Restauración Completo'!D26</f>
        <v>Tripadvisor</v>
      </c>
      <c r="E26" s="9">
        <f>'Restauración Completo'!E26</f>
        <v>975</v>
      </c>
      <c r="F26" s="9">
        <f>'Restauración Completo'!F26</f>
        <v>534</v>
      </c>
      <c r="G26" s="9">
        <f>'Restauración Completo'!G26</f>
        <v>4.8</v>
      </c>
      <c r="H26" s="9">
        <f>'Restauración Completo'!H26</f>
        <v>4.9</v>
      </c>
      <c r="I26" s="9">
        <f>'Restauración Completo'!I26</f>
        <v>4.835387673956262</v>
      </c>
      <c r="J26" s="9">
        <f>'Restauración Completo'!J26</f>
        <v>1</v>
      </c>
      <c r="K26" s="9">
        <f>'Restauración Completo'!K26</f>
        <v>28</v>
      </c>
      <c r="L26" s="9">
        <f>'Restauración Completo'!L26</f>
        <v>0</v>
      </c>
      <c r="M26" s="9">
        <f>'Restauración Completo'!M26</f>
        <v>0</v>
      </c>
      <c r="N26" s="9">
        <f>'Restauración Completo'!N26</f>
        <v>0</v>
      </c>
      <c r="O26" s="9">
        <f>'Restauración Completo'!O26</f>
        <v>0</v>
      </c>
      <c r="P26" s="9">
        <f>'Restauración Completo'!P26</f>
        <v>974</v>
      </c>
      <c r="Q26" s="9">
        <f>'Restauración Completo'!Q26</f>
        <v>0.10000000000000053</v>
      </c>
      <c r="R26" s="9">
        <f>'Restauración Completo'!R26</f>
        <v>0.03538767395626241</v>
      </c>
      <c r="S26" s="9">
        <f>'Restauración Completo'!S26</f>
        <v>0.06461232604373812</v>
      </c>
      <c r="T26" s="9">
        <f>'Restauración Completo'!T26</f>
        <v>1.5492813141683779</v>
      </c>
      <c r="U26" s="9">
        <f>'Restauración Completo'!U26</f>
        <v>15.37019476934829</v>
      </c>
      <c r="V26" s="9">
        <f>'Restauración Completo'!V26</f>
        <v>0</v>
      </c>
      <c r="W26" s="9">
        <f>'Restauración Completo'!W26</f>
        <v>0</v>
      </c>
      <c r="X26" s="9">
        <f>'Restauración Completo'!X26</f>
        <v>0</v>
      </c>
      <c r="Y26" s="9">
        <f>'Restauración Completo'!Y26</f>
        <v>0</v>
      </c>
      <c r="Z26" s="9">
        <f>'Restauración Completo'!Z26</f>
        <v>1.8258426966292134</v>
      </c>
      <c r="AA26" s="9">
        <f>'Restauración Completo'!AA26</f>
        <v>150.9</v>
      </c>
      <c r="AB26" s="9">
        <f>'Restauración Completo'!AB26</f>
        <v>150.9</v>
      </c>
      <c r="AC26" s="9">
        <f>'Restauración Completo'!AC26</f>
        <v>150.9</v>
      </c>
      <c r="AD26" s="9">
        <f>'Restauración Completo'!AD26</f>
        <v>150.9</v>
      </c>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row>
    <row r="27">
      <c r="A27" s="10">
        <f>'Restauración Completo'!A27</f>
        <v>61</v>
      </c>
      <c r="B27" s="10" t="str">
        <f>'Restauración Completo'!B27</f>
        <v>Restauración</v>
      </c>
      <c r="C27" s="10" t="str">
        <f>'Restauración Completo'!C27</f>
        <v>Nudo</v>
      </c>
      <c r="D27" s="10" t="str">
        <f>'Restauración Completo'!D27</f>
        <v>Publicidad</v>
      </c>
      <c r="E27" s="9">
        <f>'Restauración Completo'!E27</f>
        <v>383</v>
      </c>
      <c r="F27" s="9">
        <f>'Restauración Completo'!F27</f>
        <v>90</v>
      </c>
      <c r="G27" s="9">
        <f>'Restauración Completo'!G27</f>
        <v>4.6</v>
      </c>
      <c r="H27" s="9">
        <f>'Restauración Completo'!H27</f>
        <v>4.5</v>
      </c>
      <c r="I27" s="9">
        <f>'Restauración Completo'!I27</f>
        <v>4.580972515856237</v>
      </c>
      <c r="J27" s="9">
        <f>'Restauración Completo'!J27</f>
        <v>1</v>
      </c>
      <c r="K27" s="9">
        <f>'Restauración Completo'!K27</f>
        <v>261</v>
      </c>
      <c r="L27" s="9">
        <f>'Restauración Completo'!L27</f>
        <v>0</v>
      </c>
      <c r="M27" s="9">
        <f>'Restauración Completo'!M27</f>
        <v>0</v>
      </c>
      <c r="N27" s="9">
        <f>'Restauración Completo'!N27</f>
        <v>0</v>
      </c>
      <c r="O27" s="9">
        <f>'Restauración Completo'!O27</f>
        <v>0</v>
      </c>
      <c r="P27" s="9">
        <f>'Restauración Completo'!P27</f>
        <v>671</v>
      </c>
      <c r="Q27" s="9">
        <f>'Restauración Completo'!Q27</f>
        <v>0.09999999999999964</v>
      </c>
      <c r="R27" s="9">
        <f>'Restauración Completo'!R27</f>
        <v>0.019027484143762763</v>
      </c>
      <c r="S27" s="9">
        <f>'Restauración Completo'!S27</f>
        <v>0.08097251585623688</v>
      </c>
      <c r="T27" s="9">
        <f>'Restauración Completo'!T27</f>
        <v>0.7049180327868853</v>
      </c>
      <c r="U27" s="9">
        <f>'Restauración Completo'!U27</f>
        <v>12.253465369451776</v>
      </c>
      <c r="V27" s="9">
        <f>'Restauración Completo'!V27</f>
        <v>0</v>
      </c>
      <c r="W27" s="9">
        <f>'Restauración Completo'!W27</f>
        <v>0</v>
      </c>
      <c r="X27" s="9">
        <f>'Restauración Completo'!X27</f>
        <v>0</v>
      </c>
      <c r="Y27" s="9">
        <f>'Restauración Completo'!Y27</f>
        <v>0</v>
      </c>
      <c r="Z27" s="9">
        <f>'Restauración Completo'!Z27</f>
        <v>4.2555555555555555</v>
      </c>
      <c r="AA27" s="9">
        <f>'Restauración Completo'!AA27</f>
        <v>47.3</v>
      </c>
      <c r="AB27" s="9">
        <f>'Restauración Completo'!AB27</f>
        <v>47.3</v>
      </c>
      <c r="AC27" s="9">
        <f>'Restauración Completo'!AC27</f>
        <v>47.3</v>
      </c>
      <c r="AD27" s="9">
        <f>'Restauración Completo'!AD27</f>
        <v>47.3</v>
      </c>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row>
    <row r="28">
      <c r="A28" s="10">
        <f>'Restauración Completo'!A28</f>
        <v>62</v>
      </c>
      <c r="B28" s="10" t="str">
        <f>'Restauración Completo'!B28</f>
        <v>Restauración</v>
      </c>
      <c r="C28" s="10" t="str">
        <f>'Restauración Completo'!C28</f>
        <v>Terraviva</v>
      </c>
      <c r="D28" s="10" t="str">
        <f>'Restauración Completo'!D28</f>
        <v>Publicidad</v>
      </c>
      <c r="E28" s="9">
        <f>'Restauración Completo'!E28</f>
        <v>1222</v>
      </c>
      <c r="F28" s="9">
        <f>'Restauración Completo'!F28</f>
        <v>174</v>
      </c>
      <c r="G28" s="9">
        <f>'Restauración Completo'!G28</f>
        <v>4.2</v>
      </c>
      <c r="H28" s="9">
        <f>'Restauración Completo'!H28</f>
        <v>4</v>
      </c>
      <c r="I28" s="9">
        <f>'Restauración Completo'!I28</f>
        <v>4.175071633237823</v>
      </c>
      <c r="J28" s="9">
        <f>'Restauración Completo'!J28</f>
        <v>1</v>
      </c>
      <c r="K28" s="9">
        <f>'Restauración Completo'!K28</f>
        <v>478</v>
      </c>
      <c r="L28" s="9">
        <f>'Restauración Completo'!L28</f>
        <v>0</v>
      </c>
      <c r="M28" s="9">
        <f>'Restauración Completo'!M28</f>
        <v>0</v>
      </c>
      <c r="N28" s="9">
        <f>'Restauración Completo'!N28</f>
        <v>0</v>
      </c>
      <c r="O28" s="9">
        <f>'Restauración Completo'!O28</f>
        <v>0</v>
      </c>
      <c r="P28" s="9">
        <f>'Restauración Completo'!P28</f>
        <v>426</v>
      </c>
      <c r="Q28" s="9">
        <f>'Restauración Completo'!Q28</f>
        <v>0.20000000000000018</v>
      </c>
      <c r="R28" s="9">
        <f>'Restauración Completo'!R28</f>
        <v>0.024928366762177134</v>
      </c>
      <c r="S28" s="9">
        <f>'Restauración Completo'!S28</f>
        <v>0.17507163323782304</v>
      </c>
      <c r="T28" s="9">
        <f>'Restauración Completo'!T28</f>
        <v>3.276995305164319</v>
      </c>
      <c r="U28" s="9">
        <f>'Restauración Completo'!U28</f>
        <v>13.130121899673913</v>
      </c>
      <c r="V28" s="9">
        <f>'Restauración Completo'!V28</f>
        <v>0</v>
      </c>
      <c r="W28" s="9">
        <f>'Restauración Completo'!W28</f>
        <v>0</v>
      </c>
      <c r="X28" s="9">
        <f>'Restauración Completo'!X28</f>
        <v>0</v>
      </c>
      <c r="Y28" s="9">
        <f>'Restauración Completo'!Y28</f>
        <v>0</v>
      </c>
      <c r="Z28" s="9">
        <f>'Restauración Completo'!Z28</f>
        <v>7.022988505747127</v>
      </c>
      <c r="AA28" s="9">
        <f>'Restauración Completo'!AA28</f>
        <v>139.6</v>
      </c>
      <c r="AB28" s="9">
        <f>'Restauración Completo'!AB28</f>
        <v>139.6</v>
      </c>
      <c r="AC28" s="9">
        <f>'Restauración Completo'!AC28</f>
        <v>139.6</v>
      </c>
      <c r="AD28" s="9">
        <f>'Restauración Completo'!AD28</f>
        <v>139.6</v>
      </c>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row>
    <row r="29">
      <c r="A29" s="10">
        <f>'Restauración Completo'!A29</f>
        <v>63</v>
      </c>
      <c r="B29" s="10" t="str">
        <f>'Restauración Completo'!B29</f>
        <v>Restauración</v>
      </c>
      <c r="C29" s="10" t="str">
        <f>'Restauración Completo'!C29</f>
        <v>Seis Tapas Bar</v>
      </c>
      <c r="D29" s="10" t="str">
        <f>'Restauración Completo'!D29</f>
        <v>Publicidad</v>
      </c>
      <c r="E29" s="9">
        <f>'Restauración Completo'!E29</f>
        <v>4217</v>
      </c>
      <c r="F29" s="9">
        <f>'Restauración Completo'!F29</f>
        <v>769</v>
      </c>
      <c r="G29" s="9">
        <f>'Restauración Completo'!G29</f>
        <v>4.2</v>
      </c>
      <c r="H29" s="9">
        <f>'Restauración Completo'!H29</f>
        <v>3.6</v>
      </c>
      <c r="I29" s="9">
        <f>'Restauración Completo'!I29</f>
        <v>4.107460890493382</v>
      </c>
      <c r="J29" s="9">
        <f>'Restauración Completo'!J29</f>
        <v>1</v>
      </c>
      <c r="K29" s="9">
        <f>'Restauración Completo'!K29</f>
        <v>437</v>
      </c>
      <c r="L29" s="9">
        <f>'Restauración Completo'!L29</f>
        <v>0</v>
      </c>
      <c r="M29" s="9">
        <f>'Restauración Completo'!M29</f>
        <v>0</v>
      </c>
      <c r="N29" s="9">
        <f>'Restauración Completo'!N29</f>
        <v>0</v>
      </c>
      <c r="O29" s="9">
        <f>'Restauración Completo'!O29</f>
        <v>0</v>
      </c>
      <c r="P29" s="9">
        <f>'Restauración Completo'!P29</f>
        <v>397</v>
      </c>
      <c r="Q29" s="9">
        <f>'Restauración Completo'!Q29</f>
        <v>0.6000000000000001</v>
      </c>
      <c r="R29" s="9">
        <f>'Restauración Completo'!R29</f>
        <v>0.09253910950661837</v>
      </c>
      <c r="S29" s="9">
        <f>'Restauración Completo'!S29</f>
        <v>0.5074608904933817</v>
      </c>
      <c r="T29" s="9">
        <f>'Restauración Completo'!T29</f>
        <v>12.55919395465995</v>
      </c>
      <c r="U29" s="9">
        <f>'Restauración Completo'!U29</f>
        <v>15.188372848877012</v>
      </c>
      <c r="V29" s="9">
        <f>'Restauración Completo'!V29</f>
        <v>0</v>
      </c>
      <c r="W29" s="9">
        <f>'Restauración Completo'!W29</f>
        <v>0</v>
      </c>
      <c r="X29" s="9">
        <f>'Restauración Completo'!X29</f>
        <v>0</v>
      </c>
      <c r="Y29" s="9">
        <f>'Restauración Completo'!Y29</f>
        <v>0</v>
      </c>
      <c r="Z29" s="9">
        <f>'Restauración Completo'!Z29</f>
        <v>5.483745123537061</v>
      </c>
      <c r="AA29" s="9">
        <f>'Restauración Completo'!AA29</f>
        <v>498.6</v>
      </c>
      <c r="AB29" s="9">
        <f>'Restauración Completo'!AB29</f>
        <v>498.6</v>
      </c>
      <c r="AC29" s="9">
        <f>'Restauración Completo'!AC29</f>
        <v>498.6</v>
      </c>
      <c r="AD29" s="9">
        <f>'Restauración Completo'!AD29</f>
        <v>498.6</v>
      </c>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row>
    <row r="30">
      <c r="A30" s="10">
        <f>'Restauración Completo'!A30</f>
        <v>64</v>
      </c>
      <c r="B30" s="10" t="str">
        <f>'Restauración Completo'!B30</f>
        <v>Restauración</v>
      </c>
      <c r="C30" s="10" t="str">
        <f>'Restauración Completo'!C30</f>
        <v>Restaurante Selva Negra Tapas</v>
      </c>
      <c r="D30" s="10" t="str">
        <f>'Restauración Completo'!D30</f>
        <v>Publicidad</v>
      </c>
      <c r="E30" s="9">
        <f>'Restauración Completo'!E30</f>
        <v>846</v>
      </c>
      <c r="F30" s="9">
        <f>'Restauración Completo'!F30</f>
        <v>19</v>
      </c>
      <c r="G30" s="9">
        <f>'Restauración Completo'!G30</f>
        <v>4.5</v>
      </c>
      <c r="H30" s="9">
        <f>'Restauración Completo'!H30</f>
        <v>4.3</v>
      </c>
      <c r="I30" s="9">
        <f>'Restauración Completo'!I30</f>
        <v>4.495606936416185</v>
      </c>
      <c r="J30" s="9">
        <f>'Restauración Completo'!J30</f>
        <v>0</v>
      </c>
      <c r="K30" s="9">
        <f>'Restauración Completo'!K30</f>
        <v>0</v>
      </c>
      <c r="L30" s="9">
        <f>'Restauración Completo'!L30</f>
        <v>0</v>
      </c>
      <c r="M30" s="9">
        <f>'Restauración Completo'!M30</f>
        <v>0</v>
      </c>
      <c r="N30" s="9">
        <f>'Restauración Completo'!N30</f>
        <v>0</v>
      </c>
      <c r="O30" s="9">
        <f>'Restauración Completo'!O30</f>
        <v>0</v>
      </c>
      <c r="P30" s="9">
        <f>'Restauración Completo'!P30</f>
        <v>4760</v>
      </c>
      <c r="Q30" s="9">
        <f>'Restauración Completo'!Q30</f>
        <v>0.20000000000000018</v>
      </c>
      <c r="R30" s="9">
        <f>'Restauración Completo'!R30</f>
        <v>0.004393063583814971</v>
      </c>
      <c r="S30" s="9">
        <f>'Restauración Completo'!S30</f>
        <v>0.1956069364161852</v>
      </c>
      <c r="T30" s="9">
        <f>'Restauración Completo'!T30</f>
        <v>0.18172268907563024</v>
      </c>
      <c r="U30" s="9">
        <f>'Restauración Completo'!U30</f>
        <v>13.203669985084883</v>
      </c>
      <c r="V30" s="9">
        <f>'Restauración Completo'!V30</f>
        <v>0</v>
      </c>
      <c r="W30" s="9">
        <f>'Restauración Completo'!W30</f>
        <v>0</v>
      </c>
      <c r="X30" s="9">
        <f>'Restauración Completo'!X30</f>
        <v>0</v>
      </c>
      <c r="Y30" s="9">
        <f>'Restauración Completo'!Y30</f>
        <v>0</v>
      </c>
      <c r="Z30" s="9">
        <f>'Restauración Completo'!Z30</f>
        <v>44.526315789473685</v>
      </c>
      <c r="AA30" s="9">
        <f>'Restauración Completo'!AA30</f>
        <v>86.5</v>
      </c>
      <c r="AB30" s="9">
        <f>'Restauración Completo'!AB30</f>
        <v>86.5</v>
      </c>
      <c r="AC30" s="9">
        <f>'Restauración Completo'!AC30</f>
        <v>86.5</v>
      </c>
      <c r="AD30" s="9">
        <f>'Restauración Completo'!AD30</f>
        <v>86.5</v>
      </c>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row>
    <row r="31">
      <c r="A31" s="10">
        <f>'Restauración Completo'!A31</f>
        <v>65</v>
      </c>
      <c r="B31" s="10" t="str">
        <f>'Restauración Completo'!B31</f>
        <v>Restauración</v>
      </c>
      <c r="C31" s="10" t="str">
        <f>'Restauración Completo'!C31</f>
        <v>La Bernarda</v>
      </c>
      <c r="D31" s="10" t="str">
        <f>'Restauración Completo'!D31</f>
        <v>Publicidad</v>
      </c>
      <c r="E31" s="9">
        <f>'Restauración Completo'!E31</f>
        <v>8332</v>
      </c>
      <c r="F31" s="9">
        <f>'Restauración Completo'!F31</f>
        <v>1161</v>
      </c>
      <c r="G31" s="9">
        <f>'Restauración Completo'!G31</f>
        <v>4.4</v>
      </c>
      <c r="H31" s="9">
        <f>'Restauración Completo'!H31</f>
        <v>3.8</v>
      </c>
      <c r="I31" s="9">
        <f>'Restauración Completo'!I31</f>
        <v>4.326619614452755</v>
      </c>
      <c r="J31" s="9">
        <f>'Restauración Completo'!J31</f>
        <v>1</v>
      </c>
      <c r="K31" s="9">
        <f>'Restauración Completo'!K31</f>
        <v>304</v>
      </c>
      <c r="L31" s="9">
        <f>'Restauración Completo'!L31</f>
        <v>0</v>
      </c>
      <c r="M31" s="9">
        <f>'Restauración Completo'!M31</f>
        <v>0</v>
      </c>
      <c r="N31" s="9">
        <f>'Restauración Completo'!N31</f>
        <v>0</v>
      </c>
      <c r="O31" s="9">
        <f>'Restauración Completo'!O31</f>
        <v>0</v>
      </c>
      <c r="P31" s="9">
        <f>'Restauración Completo'!P31</f>
        <v>760</v>
      </c>
      <c r="Q31" s="9">
        <f>'Restauración Completo'!Q31</f>
        <v>0.6000000000000005</v>
      </c>
      <c r="R31" s="9">
        <f>'Restauración Completo'!R31</f>
        <v>0.07338038554724502</v>
      </c>
      <c r="S31" s="9">
        <f>'Restauración Completo'!S31</f>
        <v>0.5266196144527555</v>
      </c>
      <c r="T31" s="9">
        <f>'Restauración Completo'!T31</f>
        <v>12.490789473684211</v>
      </c>
      <c r="U31" s="9">
        <f>'Restauración Completo'!U31</f>
        <v>17.208711914939666</v>
      </c>
      <c r="V31" s="9">
        <f>'Restauración Completo'!V31</f>
        <v>0</v>
      </c>
      <c r="W31" s="9">
        <f>'Restauración Completo'!W31</f>
        <v>0</v>
      </c>
      <c r="X31" s="9">
        <f>'Restauración Completo'!X31</f>
        <v>0</v>
      </c>
      <c r="Y31" s="9">
        <f>'Restauración Completo'!Y31</f>
        <v>0</v>
      </c>
      <c r="Z31" s="9">
        <f>'Restauración Completo'!Z31</f>
        <v>7.176571920757968</v>
      </c>
      <c r="AA31" s="9">
        <f>'Restauración Completo'!AA31</f>
        <v>949.3</v>
      </c>
      <c r="AB31" s="9">
        <f>'Restauración Completo'!AB31</f>
        <v>949.3</v>
      </c>
      <c r="AC31" s="9">
        <f>'Restauración Completo'!AC31</f>
        <v>949.3</v>
      </c>
      <c r="AD31" s="9">
        <f>'Restauración Completo'!AD31</f>
        <v>949.3</v>
      </c>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row>
    <row r="32">
      <c r="A32" s="10">
        <f>'Restauración Completo'!A32</f>
        <v>66</v>
      </c>
      <c r="B32" s="10" t="str">
        <f>'Restauración Completo'!B32</f>
        <v>Restauración</v>
      </c>
      <c r="C32" s="10" t="str">
        <f>'Restauración Completo'!C32</f>
        <v>Lobo buhaira restaurante</v>
      </c>
      <c r="D32" s="10" t="str">
        <f>'Restauración Completo'!D32</f>
        <v>Publicidad</v>
      </c>
      <c r="E32" s="9">
        <f>'Restauración Completo'!E32</f>
        <v>253</v>
      </c>
      <c r="F32" s="9">
        <f>'Restauración Completo'!F32</f>
        <v>1</v>
      </c>
      <c r="G32" s="9">
        <f>'Restauración Completo'!G32</f>
        <v>4.7</v>
      </c>
      <c r="H32" s="9">
        <f>'Restauración Completo'!H32</f>
        <v>0</v>
      </c>
      <c r="I32" s="9">
        <f>'Restauración Completo'!I32</f>
        <v>4.681496062992126</v>
      </c>
      <c r="J32" s="9">
        <f>'Restauración Completo'!J32</f>
        <v>0</v>
      </c>
      <c r="K32" s="9">
        <f>'Restauración Completo'!K32</f>
        <v>0</v>
      </c>
      <c r="L32" s="9">
        <f>'Restauración Completo'!L32</f>
        <v>0</v>
      </c>
      <c r="M32" s="9">
        <f>'Restauración Completo'!M32</f>
        <v>0</v>
      </c>
      <c r="N32" s="9">
        <f>'Restauración Completo'!N32</f>
        <v>0</v>
      </c>
      <c r="O32" s="9">
        <f>'Restauración Completo'!O32</f>
        <v>0</v>
      </c>
      <c r="P32" s="9">
        <f>'Restauración Completo'!P32</f>
        <v>1310</v>
      </c>
      <c r="Q32" s="9">
        <f>'Restauración Completo'!Q32</f>
        <v>4.7</v>
      </c>
      <c r="R32" s="9">
        <f>'Restauración Completo'!R32</f>
        <v>0.018503937007873894</v>
      </c>
      <c r="S32" s="9">
        <f>'Restauración Completo'!S32</f>
        <v>4.681496062992126</v>
      </c>
      <c r="T32" s="9">
        <f>'Restauración Completo'!T32</f>
        <v>0.19389312977099238</v>
      </c>
      <c r="U32" s="9">
        <f>'Restauración Completo'!U32</f>
        <v>11.258219576506963</v>
      </c>
      <c r="V32" s="9">
        <f>'Restauración Completo'!V32</f>
        <v>0</v>
      </c>
      <c r="W32" s="9">
        <f>'Restauración Completo'!W32</f>
        <v>0</v>
      </c>
      <c r="X32" s="9">
        <f>'Restauración Completo'!X32</f>
        <v>0</v>
      </c>
      <c r="Y32" s="9">
        <f>'Restauración Completo'!Y32</f>
        <v>0</v>
      </c>
      <c r="Z32" s="9">
        <f>'Restauración Completo'!Z32</f>
        <v>253</v>
      </c>
      <c r="AA32" s="9">
        <f>'Restauración Completo'!AA32</f>
        <v>25.4</v>
      </c>
      <c r="AB32" s="9">
        <f>'Restauración Completo'!AB32</f>
        <v>25.4</v>
      </c>
      <c r="AC32" s="9">
        <f>'Restauración Completo'!AC32</f>
        <v>25.4</v>
      </c>
      <c r="AD32" s="9">
        <f>'Restauración Completo'!AD32</f>
        <v>25.4</v>
      </c>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row>
    <row r="33">
      <c r="A33" s="10">
        <f>'Restauración Completo'!A33</f>
        <v>67</v>
      </c>
      <c r="B33" s="10" t="str">
        <f>'Restauración Completo'!B33</f>
        <v>Restauración</v>
      </c>
      <c r="C33" s="10" t="str">
        <f>'Restauración Completo'!C33</f>
        <v>Morancho Brasería</v>
      </c>
      <c r="D33" s="10" t="str">
        <f>'Restauración Completo'!D33</f>
        <v>Publicidad</v>
      </c>
      <c r="E33" s="9">
        <f>'Restauración Completo'!E33</f>
        <v>3799</v>
      </c>
      <c r="F33" s="9">
        <f>'Restauración Completo'!F33</f>
        <v>1</v>
      </c>
      <c r="G33" s="9">
        <f>'Restauración Completo'!G33</f>
        <v>4.7</v>
      </c>
      <c r="H33" s="9">
        <f>'Restauración Completo'!H33</f>
        <v>0</v>
      </c>
      <c r="I33" s="9">
        <f>'Restauración Completo'!I33</f>
        <v>4.698763157894737</v>
      </c>
      <c r="J33" s="9">
        <f>'Restauración Completo'!J33</f>
        <v>0</v>
      </c>
      <c r="K33" s="9">
        <f>'Restauración Completo'!K33</f>
        <v>0</v>
      </c>
      <c r="L33" s="9">
        <f>'Restauración Completo'!L33</f>
        <v>0</v>
      </c>
      <c r="M33" s="9">
        <f>'Restauración Completo'!M33</f>
        <v>0</v>
      </c>
      <c r="N33" s="9">
        <f>'Restauración Completo'!N33</f>
        <v>0</v>
      </c>
      <c r="O33" s="9">
        <f>'Restauración Completo'!O33</f>
        <v>0</v>
      </c>
      <c r="P33" s="9">
        <f>'Restauración Completo'!P33</f>
        <v>6260</v>
      </c>
      <c r="Q33" s="9">
        <f>'Restauración Completo'!Q33</f>
        <v>4.7</v>
      </c>
      <c r="R33" s="9">
        <f>'Restauración Completo'!R33</f>
        <v>0.0012368421052633138</v>
      </c>
      <c r="S33" s="9">
        <f>'Restauración Completo'!S33</f>
        <v>4.698763157894737</v>
      </c>
      <c r="T33" s="9">
        <f>'Restauración Completo'!T33</f>
        <v>0.6070287539936102</v>
      </c>
      <c r="U33" s="9">
        <f>'Restauración Completo'!U33</f>
        <v>16.820555277018983</v>
      </c>
      <c r="V33" s="9">
        <f>'Restauración Completo'!V33</f>
        <v>0</v>
      </c>
      <c r="W33" s="9">
        <f>'Restauración Completo'!W33</f>
        <v>0</v>
      </c>
      <c r="X33" s="9">
        <f>'Restauración Completo'!X33</f>
        <v>0</v>
      </c>
      <c r="Y33" s="9">
        <f>'Restauración Completo'!Y33</f>
        <v>0</v>
      </c>
      <c r="Z33" s="9">
        <f>'Restauración Completo'!Z33</f>
        <v>3799</v>
      </c>
      <c r="AA33" s="9">
        <f>'Restauración Completo'!AA33</f>
        <v>380</v>
      </c>
      <c r="AB33" s="9">
        <f>'Restauración Completo'!AB33</f>
        <v>380</v>
      </c>
      <c r="AC33" s="9">
        <f>'Restauración Completo'!AC33</f>
        <v>380</v>
      </c>
      <c r="AD33" s="9">
        <f>'Restauración Completo'!AD33</f>
        <v>380</v>
      </c>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row>
    <row r="34">
      <c r="A34" s="10"/>
      <c r="B34" s="10"/>
      <c r="C34" s="10"/>
      <c r="D34" s="10"/>
      <c r="E34" s="9"/>
      <c r="F34" s="9"/>
      <c r="G34" s="9"/>
      <c r="H34" s="9"/>
      <c r="I34" s="9"/>
      <c r="J34" s="9"/>
      <c r="K34" s="9"/>
      <c r="L34" s="9"/>
      <c r="M34" s="9"/>
      <c r="N34" s="9"/>
      <c r="O34" s="9"/>
      <c r="P34" s="9"/>
      <c r="Q34" s="9"/>
      <c r="R34" s="9"/>
      <c r="S34" s="9"/>
      <c r="T34" s="9"/>
      <c r="U34" s="9"/>
      <c r="V34" s="9"/>
      <c r="W34" s="9"/>
      <c r="X34" s="9"/>
      <c r="Y34" s="9"/>
      <c r="Z34" s="9"/>
      <c r="AA34" s="9"/>
      <c r="AB34" s="9"/>
      <c r="AC34" s="9"/>
      <c r="AD34" s="9"/>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row>
    <row r="35">
      <c r="A35" s="10"/>
      <c r="B35" s="10"/>
      <c r="C35" s="10"/>
      <c r="D35" s="10"/>
      <c r="E35" s="9"/>
      <c r="F35" s="9"/>
      <c r="G35" s="9"/>
      <c r="H35" s="9"/>
      <c r="I35" s="9"/>
      <c r="J35" s="9"/>
      <c r="K35" s="9"/>
      <c r="L35" s="9"/>
      <c r="M35" s="9"/>
      <c r="N35" s="9"/>
      <c r="O35" s="9"/>
      <c r="P35" s="9"/>
      <c r="Q35" s="9"/>
      <c r="R35" s="9"/>
      <c r="S35" s="9"/>
      <c r="T35" s="9"/>
      <c r="U35" s="9"/>
      <c r="V35" s="9"/>
      <c r="W35" s="9"/>
      <c r="X35" s="9"/>
      <c r="Y35" s="9"/>
      <c r="Z35" s="9"/>
      <c r="AA35" s="9"/>
      <c r="AB35" s="9"/>
      <c r="AC35" s="9"/>
      <c r="AD35" s="9"/>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row>
    <row r="36">
      <c r="A36" s="10"/>
      <c r="B36" s="10"/>
      <c r="C36" s="10"/>
      <c r="D36" s="10"/>
      <c r="E36" s="9"/>
      <c r="F36" s="9"/>
      <c r="G36" s="9"/>
      <c r="H36" s="9"/>
      <c r="I36" s="9"/>
      <c r="J36" s="9"/>
      <c r="K36" s="9"/>
      <c r="L36" s="9"/>
      <c r="M36" s="9"/>
      <c r="N36" s="9"/>
      <c r="O36" s="9"/>
      <c r="P36" s="9"/>
      <c r="Q36" s="9"/>
      <c r="R36" s="9"/>
      <c r="S36" s="9"/>
      <c r="T36" s="9"/>
      <c r="U36" s="9"/>
      <c r="V36" s="9"/>
      <c r="W36" s="9"/>
      <c r="X36" s="9"/>
      <c r="Y36" s="9"/>
      <c r="Z36" s="9"/>
      <c r="AA36" s="9"/>
      <c r="AB36" s="9"/>
      <c r="AC36" s="9"/>
      <c r="AD36" s="9"/>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row>
  </sheetData>
  <pageMargins left="0.699999988079071" right="0.699999988079071" top="0.75" bottom="0.75" header="0.30000001192092896" footer="0.30000001192092896"/>
  <pageSetup orientation="portrait"/>
</worksheet>
</file>

<file path=xl/worksheets/sheet9.xml><?xml version="1.0" encoding="utf-8"?>
<worksheet xmlns="http://schemas.openxmlformats.org/spreadsheetml/2006/main" xmlns:r="http://schemas.openxmlformats.org/officeDocument/2006/relationships">
  <dimension ref="A1:AD31"/>
  <sheetViews>
    <sheetView zoomScale="70" zoomScaleNormal="70" topLeftCell="L1" workbookViewId="0">
      <selection activeCell="A2" sqref="A2"/>
    </sheetView>
  </sheetViews>
  <sheetFormatPr defaultColWidth="11.421875" defaultRowHeight="15"/>
  <cols>
    <col min="1" max="1" width="5.421875" customWidth="1"/>
    <col min="2" max="2" width="27.57421875" customWidth="1"/>
    <col min="3" max="4" width="31.7109375" customWidth="1"/>
    <col min="5" max="5" width="37.00390625" customWidth="1"/>
    <col min="6" max="6" width="37.28125" customWidth="1"/>
    <col min="7" max="7" width="24.57421875" customWidth="1"/>
    <col min="8" max="8" width="20.140625" customWidth="1"/>
    <col min="9" max="9" width="19.140625" customWidth="1"/>
    <col min="10" max="13" width="17.421875" customWidth="1"/>
    <col min="14" max="14" width="21.00390625" customWidth="1"/>
    <col min="15" max="15" width="24.28125" customWidth="1"/>
    <col min="16" max="17" width="16.8515625" customWidth="1"/>
    <col min="18" max="18" width="21.00390625" customWidth="1"/>
    <col min="19" max="19" width="27.28125" customWidth="1"/>
    <col min="20" max="23" width="23.57421875" customWidth="1"/>
    <col min="24" max="24" width="22.28125" customWidth="1"/>
    <col min="25" max="28" width="18.57421875" customWidth="1"/>
    <col min="29" max="29" width="15.421875" customWidth="1"/>
  </cols>
  <sheetData>
    <row r="1" ht="75">
      <c r="A1" s="3" t="s">
        <v>0</v>
      </c>
      <c r="B1" s="3" t="s">
        <v>1</v>
      </c>
      <c r="C1" s="3" t="s">
        <v>2</v>
      </c>
      <c r="D1" s="3" t="s">
        <v>3</v>
      </c>
      <c r="E1" s="3" t="s">
        <v>4</v>
      </c>
      <c r="F1" s="3" t="s">
        <v>5</v>
      </c>
      <c r="G1" s="3" t="s">
        <v>6</v>
      </c>
      <c r="H1" s="3" t="s">
        <v>7</v>
      </c>
      <c r="I1" s="3" t="s">
        <v>8</v>
      </c>
      <c r="J1" s="3" t="s">
        <v>9</v>
      </c>
      <c r="K1" s="7" t="s">
        <v>10</v>
      </c>
      <c r="L1" s="7" t="s">
        <v>11</v>
      </c>
      <c r="M1" s="7" t="s">
        <v>12</v>
      </c>
      <c r="N1" s="7" t="s">
        <v>102</v>
      </c>
      <c r="O1" s="4" t="s">
        <v>14</v>
      </c>
      <c r="P1" s="6" t="s">
        <v>15</v>
      </c>
      <c r="Q1" s="6" t="s">
        <v>16</v>
      </c>
      <c r="R1" s="6" t="s">
        <v>17</v>
      </c>
      <c r="S1" s="3" t="s">
        <v>18</v>
      </c>
      <c r="T1" s="3" t="s">
        <v>19</v>
      </c>
      <c r="U1" s="26" t="s">
        <v>20</v>
      </c>
      <c r="V1" s="26" t="s">
        <v>21</v>
      </c>
      <c r="W1" s="26" t="s">
        <v>22</v>
      </c>
      <c r="X1" s="26" t="s">
        <v>24</v>
      </c>
      <c r="Y1" s="3" t="s">
        <v>23</v>
      </c>
      <c r="Z1" s="26" t="s">
        <v>25</v>
      </c>
      <c r="AA1" s="26" t="s">
        <v>26</v>
      </c>
      <c r="AB1" s="26" t="s">
        <v>27</v>
      </c>
      <c r="AC1" s="30" t="s">
        <v>28</v>
      </c>
    </row>
    <row r="2">
      <c r="A2" s="34">
        <f>'Restauración 2.2 (Publicidad)'!A8+1</f>
        <v>68</v>
      </c>
      <c r="B2" s="34" t="s">
        <v>138</v>
      </c>
      <c r="C2" s="35" t="s">
        <v>139</v>
      </c>
      <c r="D2" s="35" t="s">
        <v>105</v>
      </c>
      <c r="E2" s="12">
        <v>566</v>
      </c>
      <c r="F2" s="39">
        <v>1394</v>
      </c>
      <c r="G2" s="12">
        <v>4.9</v>
      </c>
      <c r="H2" s="39">
        <v>5</v>
      </c>
      <c r="I2" s="12">
        <f>((G2*E2)+(H2*F2))/SUM(E2,F2)</f>
        <v>4.9711224489795915</v>
      </c>
      <c r="J2" s="39">
        <v>1</v>
      </c>
      <c r="K2" s="39">
        <v>0</v>
      </c>
      <c r="L2" s="39">
        <v>0</v>
      </c>
      <c r="M2" s="39">
        <v>0</v>
      </c>
      <c r="N2" s="12">
        <f>(K2*0.5)+(L2*0.4)+(M2*0.1)</f>
        <v>0</v>
      </c>
      <c r="O2" s="12">
        <v>785</v>
      </c>
      <c r="P2" s="40">
        <f>ABS(G2-H2)</f>
        <v>0.09999999999999964</v>
      </c>
      <c r="Q2" s="40">
        <f>ABS(H2-I2)</f>
        <v>0.028877551020408454</v>
      </c>
      <c r="R2" s="40">
        <f>ABS(H2-I2)</f>
        <v>0.028877551020408454</v>
      </c>
      <c r="S2" s="37">
        <f>SUM(E2,F2)/O2</f>
        <v>2.4968152866242037</v>
      </c>
      <c r="T2" s="37">
        <f>LOG10(E2+F2)*I2</f>
        <v>16.366208064109532</v>
      </c>
      <c r="U2" s="37">
        <f>(K2/O2)*100</f>
        <v>0</v>
      </c>
      <c r="V2" s="37">
        <f>(L2/O2)*100</f>
        <v>0</v>
      </c>
      <c r="W2" s="37">
        <f>(M2/O2)*100</f>
        <v>0</v>
      </c>
      <c r="X2" s="37">
        <f>(N2/O2)*100</f>
        <v>0</v>
      </c>
      <c r="Y2" s="37">
        <f>E2/F2</f>
        <v>0.406025824964132</v>
      </c>
      <c r="Z2" s="40">
        <f>(SUM(E2,F2)/(K2+0.1))/100</f>
        <v>196</v>
      </c>
      <c r="AA2" s="40">
        <f>(SUM(E2,F2)/(L2+0.1))/100</f>
        <v>196</v>
      </c>
      <c r="AB2" s="40">
        <f>(SUM(E2,F2)/(M2+0.1))/100</f>
        <v>196</v>
      </c>
      <c r="AC2" s="40">
        <f>(SUM(E2,F2)/(N2+0.1))/100</f>
        <v>196</v>
      </c>
      <c r="AD2" s="10"/>
    </row>
    <row r="3">
      <c r="A3" s="38">
        <f>A2+1</f>
        <v>69</v>
      </c>
      <c r="B3" s="34" t="s">
        <v>138</v>
      </c>
      <c r="C3" s="35" t="s">
        <v>140</v>
      </c>
      <c r="D3" s="35" t="s">
        <v>105</v>
      </c>
      <c r="E3" s="13">
        <v>260</v>
      </c>
      <c r="F3" s="39">
        <v>493</v>
      </c>
      <c r="G3" s="13">
        <v>4.8</v>
      </c>
      <c r="H3" s="39">
        <v>5</v>
      </c>
      <c r="I3" s="12">
        <f>((G3*E3)+(H3*F3))/SUM(E3,F3)</f>
        <v>4.930942895086321</v>
      </c>
      <c r="J3" s="39">
        <v>2</v>
      </c>
      <c r="K3" s="39">
        <v>0</v>
      </c>
      <c r="L3" s="39">
        <v>0</v>
      </c>
      <c r="M3" s="39">
        <v>0</v>
      </c>
      <c r="N3" s="12">
        <f>(K3*0.5)+(L3*0.4)+(M3*0.1)</f>
        <v>0</v>
      </c>
      <c r="O3" s="13">
        <v>440</v>
      </c>
      <c r="P3" s="40">
        <f>ABS(G3-H3)</f>
        <v>0.20000000000000018</v>
      </c>
      <c r="Q3" s="40">
        <f>ABS(G3-I3)</f>
        <v>0.13094289508632162</v>
      </c>
      <c r="R3" s="40">
        <f>ABS(H3-I3)</f>
        <v>0.06905710491367856</v>
      </c>
      <c r="S3" s="37">
        <f>SUM(E3,F3)/O3</f>
        <v>1.7113636363636364</v>
      </c>
      <c r="T3" s="37">
        <f>LOG10(E3+F3)*I3</f>
        <v>14.185311748516868</v>
      </c>
      <c r="U3" s="37">
        <f>(K3/O3)*100</f>
        <v>0</v>
      </c>
      <c r="V3" s="37">
        <f>(L3/O3)*100</f>
        <v>0</v>
      </c>
      <c r="W3" s="37">
        <f>(M3/O3)*100</f>
        <v>0</v>
      </c>
      <c r="X3" s="37">
        <f>(N3/O3)*100</f>
        <v>0</v>
      </c>
      <c r="Y3" s="37">
        <f>E3/F3</f>
        <v>0.5273833671399595</v>
      </c>
      <c r="Z3" s="40">
        <f>(SUM(E3,F3)/(K3+0.1))/100</f>
        <v>75.3</v>
      </c>
      <c r="AA3" s="40">
        <f>(SUM(E3,F3)/(L3+0.1))/100</f>
        <v>75.3</v>
      </c>
      <c r="AB3" s="40">
        <f>(SUM(E3,F3)/(M3+0.1))/100</f>
        <v>75.3</v>
      </c>
      <c r="AC3" s="40">
        <f>(SUM(E3,F3)/(N3+0.1))/100</f>
        <v>75.3</v>
      </c>
      <c r="AD3" s="10"/>
    </row>
    <row r="4">
      <c r="A4" s="34">
        <f>A3+1</f>
        <v>70</v>
      </c>
      <c r="B4" s="34" t="s">
        <v>138</v>
      </c>
      <c r="C4" s="35" t="s">
        <v>141</v>
      </c>
      <c r="D4" s="35" t="s">
        <v>105</v>
      </c>
      <c r="E4" s="12">
        <v>185</v>
      </c>
      <c r="F4" s="39">
        <v>224</v>
      </c>
      <c r="G4" s="12">
        <v>4.5</v>
      </c>
      <c r="H4" s="39">
        <v>4.9</v>
      </c>
      <c r="I4" s="12">
        <f>((G4*E4)+(H4*F4))/SUM(E4,F4)</f>
        <v>4.719070904645477</v>
      </c>
      <c r="J4" s="39">
        <v>3</v>
      </c>
      <c r="K4" s="39">
        <v>0</v>
      </c>
      <c r="L4" s="39">
        <v>0</v>
      </c>
      <c r="M4" s="39">
        <v>20</v>
      </c>
      <c r="N4" s="12">
        <f>(K4*0.5)+(L4*0.4)+(M4*0.1)</f>
        <v>2</v>
      </c>
      <c r="O4" s="12">
        <v>1510</v>
      </c>
      <c r="P4" s="40">
        <f>ABS(G4-H4)</f>
        <v>0.40000000000000036</v>
      </c>
      <c r="Q4" s="40">
        <f>ABS(G4-I4)</f>
        <v>0.21907090464547707</v>
      </c>
      <c r="R4" s="40">
        <f>ABS(H4-I4)</f>
        <v>0.18092909535452328</v>
      </c>
      <c r="S4" s="37">
        <f>SUM(E4,F4)/O4</f>
        <v>0.27086092715231785</v>
      </c>
      <c r="T4" s="37">
        <f>LOG10(E4+F4)*I4</f>
        <v>12.324907473801884</v>
      </c>
      <c r="U4" s="37">
        <f>(K4/O4)*100</f>
        <v>0</v>
      </c>
      <c r="V4" s="37">
        <f>(L4/O4)*100</f>
        <v>0</v>
      </c>
      <c r="W4" s="37">
        <f>(M4/O4)*100</f>
        <v>1.3245033112582782</v>
      </c>
      <c r="X4" s="37">
        <f>(N4/O4)*100</f>
        <v>0.13245033112582782</v>
      </c>
      <c r="Y4" s="37">
        <f>E4/F4</f>
        <v>0.8258928571428571</v>
      </c>
      <c r="Z4" s="40">
        <f>(SUM(E4,F4)/(K4+0.1))/100</f>
        <v>40.9</v>
      </c>
      <c r="AA4" s="40">
        <f>(SUM(E4,F4)/(L4+0.1))/100</f>
        <v>40.9</v>
      </c>
      <c r="AB4" s="40">
        <f>(SUM(E4,F4)/(M4+0.1))/100</f>
        <v>0.20348258706467662</v>
      </c>
      <c r="AC4" s="40">
        <f>(SUM(E4,F4)/(N4+0.1))/100</f>
        <v>1.9476190476190476</v>
      </c>
      <c r="AD4" s="10"/>
    </row>
    <row r="5">
      <c r="A5" s="34">
        <f>A4+1</f>
        <v>71</v>
      </c>
      <c r="B5" s="34" t="s">
        <v>138</v>
      </c>
      <c r="C5" s="35" t="s">
        <v>142</v>
      </c>
      <c r="D5" s="35" t="s">
        <v>105</v>
      </c>
      <c r="E5" s="12">
        <v>971</v>
      </c>
      <c r="F5" s="39">
        <v>920</v>
      </c>
      <c r="G5" s="12">
        <v>4.8</v>
      </c>
      <c r="H5" s="39">
        <v>4.9</v>
      </c>
      <c r="I5" s="12">
        <f>((G5*E5)+(H5*F5))/SUM(E5,F5)</f>
        <v>4.848651507139079</v>
      </c>
      <c r="J5" s="39">
        <v>4</v>
      </c>
      <c r="K5" s="39">
        <v>0</v>
      </c>
      <c r="L5" s="39">
        <v>0</v>
      </c>
      <c r="M5" s="39">
        <v>0</v>
      </c>
      <c r="N5" s="12">
        <f>(K5*0.5)+(L5*0.4)+(M5*0.1)</f>
        <v>0</v>
      </c>
      <c r="O5" s="12">
        <v>548</v>
      </c>
      <c r="P5" s="40">
        <f>ABS(G5-H5)</f>
        <v>0.10000000000000053</v>
      </c>
      <c r="Q5" s="40">
        <f>ABS(G5-I5)</f>
        <v>0.04865150713907962</v>
      </c>
      <c r="R5" s="40">
        <f>ABS(H5-I5)</f>
        <v>0.051348492860920913</v>
      </c>
      <c r="S5" s="37">
        <f>SUM(E5,F5)/O5</f>
        <v>3.4507299270072993</v>
      </c>
      <c r="T5" s="37">
        <f>LOG10(E5+F5)*I5</f>
        <v>15.887535319764357</v>
      </c>
      <c r="U5" s="37">
        <f>(K5/O5)*100</f>
        <v>0</v>
      </c>
      <c r="V5" s="37">
        <f>(L5/O5)*100</f>
        <v>0</v>
      </c>
      <c r="W5" s="37">
        <f>(M5/O5)*100</f>
        <v>0</v>
      </c>
      <c r="X5" s="37">
        <f>(N5/O5)*100</f>
        <v>0</v>
      </c>
      <c r="Y5" s="37">
        <f>E5/F5</f>
        <v>1.0554347826086956</v>
      </c>
      <c r="Z5" s="40">
        <f>(SUM(E5,F5)/(K5+0.1))/100</f>
        <v>189.1</v>
      </c>
      <c r="AA5" s="40">
        <f>(SUM(E5,F5)/(L5+0.1))/100</f>
        <v>189.1</v>
      </c>
      <c r="AB5" s="40">
        <f>(SUM(E5,F5)/(M5+0.1))/100</f>
        <v>189.1</v>
      </c>
      <c r="AC5" s="40">
        <f>(SUM(E5,F5)/(N5+0.1))/100</f>
        <v>189.1</v>
      </c>
      <c r="AD5" s="10"/>
    </row>
    <row r="6">
      <c r="A6" s="34">
        <f>A5+1</f>
        <v>72</v>
      </c>
      <c r="B6" s="34" t="s">
        <v>138</v>
      </c>
      <c r="C6" s="35" t="s">
        <v>143</v>
      </c>
      <c r="D6" s="35" t="s">
        <v>105</v>
      </c>
      <c r="E6" s="12">
        <v>206</v>
      </c>
      <c r="F6" s="39">
        <v>216</v>
      </c>
      <c r="G6" s="12">
        <v>4.7</v>
      </c>
      <c r="H6" s="39">
        <v>4.9</v>
      </c>
      <c r="I6" s="12">
        <f>((G6*E6)+(H6*F6))/SUM(E6,F6)</f>
        <v>4.802369668246445</v>
      </c>
      <c r="J6" s="39">
        <v>5</v>
      </c>
      <c r="K6" s="39">
        <v>0</v>
      </c>
      <c r="L6" s="39">
        <v>20</v>
      </c>
      <c r="M6" s="39">
        <v>0</v>
      </c>
      <c r="N6" s="12">
        <f>(K6*0.5)+(L6*0.4)+(M6*0.1)</f>
        <v>8</v>
      </c>
      <c r="O6" s="12">
        <v>255</v>
      </c>
      <c r="P6" s="40">
        <f>ABS(G6-H6)</f>
        <v>0.20000000000000018</v>
      </c>
      <c r="Q6" s="40">
        <f>ABS(G6-I6)</f>
        <v>0.10236966824644522</v>
      </c>
      <c r="R6" s="40">
        <f>ABS(H6-I6)</f>
        <v>0.09763033175355496</v>
      </c>
      <c r="S6" s="37">
        <f>SUM(E6,F6)/O6</f>
        <v>1.6549019607843136</v>
      </c>
      <c r="T6" s="37">
        <f>LOG10(E6+F6)*I6</f>
        <v>12.607720884168076</v>
      </c>
      <c r="U6" s="37">
        <f>(K6/O6)*100</f>
        <v>0</v>
      </c>
      <c r="V6" s="37">
        <f>(L6/O6)*100</f>
        <v>7.8431372549019605</v>
      </c>
      <c r="W6" s="37">
        <f>(M6/O6)*100</f>
        <v>0</v>
      </c>
      <c r="X6" s="37">
        <f>(N6/O6)*100</f>
        <v>3.1372549019607843</v>
      </c>
      <c r="Y6" s="37">
        <f>E6/F6</f>
        <v>0.9537037037037037</v>
      </c>
      <c r="Z6" s="40">
        <f>(SUM(E6,F6)/(K6+0.1))/100</f>
        <v>42.2</v>
      </c>
      <c r="AA6" s="40">
        <f>(SUM(E6,F6)/(L6+0.1))/100</f>
        <v>0.2099502487562189</v>
      </c>
      <c r="AB6" s="40">
        <f>(SUM(E6,F6)/(M6+0.1))/100</f>
        <v>42.2</v>
      </c>
      <c r="AC6" s="40">
        <f>(SUM(E6,F6)/(N6+0.1))/100</f>
        <v>0.5209876543209877</v>
      </c>
      <c r="AD6" s="10"/>
    </row>
    <row r="7" ht="30.75">
      <c r="A7" s="34">
        <f>A6+1</f>
        <v>73</v>
      </c>
      <c r="B7" s="34" t="s">
        <v>138</v>
      </c>
      <c r="C7" s="35" t="s">
        <v>144</v>
      </c>
      <c r="D7" s="35" t="s">
        <v>105</v>
      </c>
      <c r="E7" s="12">
        <v>321</v>
      </c>
      <c r="F7" s="39">
        <v>493</v>
      </c>
      <c r="G7" s="12">
        <v>4.6</v>
      </c>
      <c r="H7" s="39">
        <v>4.8</v>
      </c>
      <c r="I7" s="12">
        <f>((G7*E7)+(H7*F7))/SUM(E7,F7)</f>
        <v>4.721130221130221</v>
      </c>
      <c r="J7" s="12">
        <v>6</v>
      </c>
      <c r="K7" s="12">
        <v>0</v>
      </c>
      <c r="L7" s="12">
        <v>0</v>
      </c>
      <c r="M7" s="12">
        <v>25</v>
      </c>
      <c r="N7" s="12">
        <f>(K7*0.5)+(L7*0.4)+(M7*0.1)</f>
        <v>2.5</v>
      </c>
      <c r="O7" s="12">
        <v>922</v>
      </c>
      <c r="P7" s="37">
        <f>ABS(G7-H7)</f>
        <v>0.20000000000000018</v>
      </c>
      <c r="Q7" s="37">
        <f>ABS(G7-I7)</f>
        <v>0.12113022113022165</v>
      </c>
      <c r="R7" s="40">
        <f>ABS(H7-I7)</f>
        <v>0.07886977886977853</v>
      </c>
      <c r="S7" s="37">
        <f>SUM(E7,F7)/O7</f>
        <v>0.8828633405639913</v>
      </c>
      <c r="T7" s="37">
        <f>LOG10(E7+F7)*I7</f>
        <v>13.741436840281573</v>
      </c>
      <c r="U7" s="37">
        <f>(K7/O7)*100</f>
        <v>0</v>
      </c>
      <c r="V7" s="37">
        <f>(L7/O7)*100</f>
        <v>0</v>
      </c>
      <c r="W7" s="37">
        <f>(M7/O7)*100</f>
        <v>2.711496746203905</v>
      </c>
      <c r="X7" s="37">
        <f>(N7/O7)*100</f>
        <v>0.27114967462039047</v>
      </c>
      <c r="Y7" s="37">
        <f>E7/F7</f>
        <v>0.6511156186612576</v>
      </c>
      <c r="Z7" s="40">
        <f>(SUM(E7,F7)/(K7+0.1))/100</f>
        <v>81.4</v>
      </c>
      <c r="AA7" s="40">
        <f>(SUM(E7,F7)/(L7+0.1))/100</f>
        <v>81.4</v>
      </c>
      <c r="AB7" s="40">
        <f>(SUM(E7,F7)/(M7+0.1))/100</f>
        <v>0.3243027888446215</v>
      </c>
      <c r="AC7" s="37">
        <f>(SUM(E7,F7)/(N7+0.1))/100</f>
        <v>3.1307692307692307</v>
      </c>
      <c r="AD7" s="10"/>
    </row>
    <row r="8">
      <c r="A8" s="34">
        <f>A7+1</f>
        <v>74</v>
      </c>
      <c r="B8" s="34" t="s">
        <v>138</v>
      </c>
      <c r="C8" s="35" t="s">
        <v>145</v>
      </c>
      <c r="D8" s="35" t="s">
        <v>105</v>
      </c>
      <c r="E8" s="12">
        <v>1161</v>
      </c>
      <c r="F8" s="39">
        <v>694</v>
      </c>
      <c r="G8" s="12">
        <v>4.7</v>
      </c>
      <c r="H8" s="39">
        <v>4.9</v>
      </c>
      <c r="I8" s="12">
        <f>((G8*E8)+(H8*F8))/SUM(E8,F8)</f>
        <v>4.7748247978436655</v>
      </c>
      <c r="J8" s="39">
        <v>7</v>
      </c>
      <c r="K8" s="39">
        <v>0</v>
      </c>
      <c r="L8" s="39">
        <v>0</v>
      </c>
      <c r="M8" s="39">
        <v>0</v>
      </c>
      <c r="N8" s="12">
        <f>(K8*0.5)+(L8*0.4)+(M8*0.1)</f>
        <v>0</v>
      </c>
      <c r="O8" s="12">
        <v>730</v>
      </c>
      <c r="P8" s="40">
        <f>ABS(G8-H8)</f>
        <v>0.20000000000000018</v>
      </c>
      <c r="Q8" s="40">
        <f>ABS(G8-I8)</f>
        <v>0.07482479784366536</v>
      </c>
      <c r="R8" s="40">
        <f>ABS(H8-I8)</f>
        <v>0.12517520215633482</v>
      </c>
      <c r="S8" s="37">
        <f>SUM(E8,F8)/O8</f>
        <v>2.541095890410959</v>
      </c>
      <c r="T8" s="37">
        <f>LOG10(E8+F8)*I8</f>
        <v>15.605769568214967</v>
      </c>
      <c r="U8" s="37">
        <f>(K8/O8)*100</f>
        <v>0</v>
      </c>
      <c r="V8" s="37">
        <f>(L8/O8)*100</f>
        <v>0</v>
      </c>
      <c r="W8" s="37">
        <f>(M8/O8)*100</f>
        <v>0</v>
      </c>
      <c r="X8" s="37">
        <f>(N8/O8)*100</f>
        <v>0</v>
      </c>
      <c r="Y8" s="37">
        <f>E8/F8</f>
        <v>1.6729106628242074</v>
      </c>
      <c r="Z8" s="40">
        <f>(SUM(E8,F8)/(K8+0.1))/100</f>
        <v>185.5</v>
      </c>
      <c r="AA8" s="40">
        <f>(SUM(E8,F8)/(L8+0.1))/100</f>
        <v>185.5</v>
      </c>
      <c r="AB8" s="40">
        <f>(SUM(E8,F8)/(M8+0.1))/100</f>
        <v>185.5</v>
      </c>
      <c r="AC8" s="40">
        <f>(SUM(E8,F8)/(N8+0.1))/100</f>
        <v>185.5</v>
      </c>
      <c r="AD8" s="10"/>
    </row>
    <row r="9">
      <c r="A9" s="34">
        <f>A8+1</f>
        <v>75</v>
      </c>
      <c r="B9" s="34" t="s">
        <v>138</v>
      </c>
      <c r="C9" s="35" t="s">
        <v>146</v>
      </c>
      <c r="D9" s="35" t="s">
        <v>105</v>
      </c>
      <c r="E9" s="12">
        <v>148</v>
      </c>
      <c r="F9" s="39">
        <v>1087</v>
      </c>
      <c r="G9" s="12">
        <v>4.6</v>
      </c>
      <c r="H9" s="39">
        <v>4.8</v>
      </c>
      <c r="I9" s="12">
        <f>((G9*E9)+(H9*F9))/SUM(E9,F9)</f>
        <v>4.7760323886639675</v>
      </c>
      <c r="J9" s="39">
        <v>8</v>
      </c>
      <c r="K9" s="39">
        <v>0</v>
      </c>
      <c r="L9" s="39">
        <v>0</v>
      </c>
      <c r="M9" s="39">
        <v>0</v>
      </c>
      <c r="N9" s="12">
        <f>(K9*0.5)+(L9*0.4)+(M9*0.1)</f>
        <v>0</v>
      </c>
      <c r="O9" s="12">
        <v>361</v>
      </c>
      <c r="P9" s="40">
        <f>ABS(G9-H9)</f>
        <v>0.20000000000000018</v>
      </c>
      <c r="Q9" s="40">
        <f>ABS(G9-I9)</f>
        <v>0.17603238866396786</v>
      </c>
      <c r="R9" s="40">
        <f>ABS(H9-I9)</f>
        <v>0.023967611336032313</v>
      </c>
      <c r="S9" s="37">
        <f>SUM(E9,F9)/O9</f>
        <v>3.4210526315789473</v>
      </c>
      <c r="T9" s="37">
        <f>LOG10(E9+F9)*I9</f>
        <v>14.765901524439178</v>
      </c>
      <c r="U9" s="37">
        <f>(K9/O9)*100</f>
        <v>0</v>
      </c>
      <c r="V9" s="37">
        <f>(L9/O9)*100</f>
        <v>0</v>
      </c>
      <c r="W9" s="37">
        <f>(M9/O9)*100</f>
        <v>0</v>
      </c>
      <c r="X9" s="37">
        <f>(N9/O9)*100</f>
        <v>0</v>
      </c>
      <c r="Y9" s="37">
        <f>E9/F9</f>
        <v>0.13615455381784727</v>
      </c>
      <c r="Z9" s="40">
        <f>(SUM(E9,F9)/(K9+0.1))/100</f>
        <v>123.5</v>
      </c>
      <c r="AA9" s="40">
        <f>(SUM(E9,F9)/(L9+0.1))/100</f>
        <v>123.5</v>
      </c>
      <c r="AB9" s="40">
        <f>(SUM(E9,F9)/(M9+0.1))/100</f>
        <v>123.5</v>
      </c>
      <c r="AC9" s="40">
        <f>(SUM(E9,F9)/(N9+0.1))/100</f>
        <v>123.5</v>
      </c>
      <c r="AD9" s="10"/>
    </row>
    <row r="10">
      <c r="A10" s="34">
        <f>A9+1</f>
        <v>76</v>
      </c>
      <c r="B10" s="34" t="s">
        <v>138</v>
      </c>
      <c r="C10" s="35" t="s">
        <v>147</v>
      </c>
      <c r="D10" s="35" t="s">
        <v>105</v>
      </c>
      <c r="E10" s="12">
        <v>226</v>
      </c>
      <c r="F10" s="39">
        <v>647</v>
      </c>
      <c r="G10" s="12">
        <v>4.5</v>
      </c>
      <c r="H10" s="39">
        <v>4.9</v>
      </c>
      <c r="I10" s="12">
        <f>((G10*E10)+(H10*F10))/SUM(E10,F10)</f>
        <v>4.796449026345933</v>
      </c>
      <c r="J10" s="39">
        <v>9</v>
      </c>
      <c r="K10" s="39">
        <v>0</v>
      </c>
      <c r="L10" s="39">
        <v>0</v>
      </c>
      <c r="M10" s="39">
        <v>0</v>
      </c>
      <c r="N10" s="12">
        <f>(K10*0.5)+(L10*0.4)+(M10*0.1)</f>
        <v>0</v>
      </c>
      <c r="O10" s="12">
        <v>453</v>
      </c>
      <c r="P10" s="40">
        <f>ABS(G10-H10)</f>
        <v>0.40000000000000036</v>
      </c>
      <c r="Q10" s="40">
        <f>ABS(G10-I10)</f>
        <v>0.2964490263459334</v>
      </c>
      <c r="R10" s="40">
        <f>ABS(H10-I10)</f>
        <v>0.10355097365406696</v>
      </c>
      <c r="S10" s="37">
        <f>SUM(E10,F10)/O10</f>
        <v>1.9271523178807948</v>
      </c>
      <c r="T10" s="37">
        <f>LOG10(E10+F10)*I10</f>
        <v>14.106424905691101</v>
      </c>
      <c r="U10" s="37">
        <f>(K10/O10)*100</f>
        <v>0</v>
      </c>
      <c r="V10" s="37">
        <f>(L10/O10)*100</f>
        <v>0</v>
      </c>
      <c r="W10" s="37">
        <f>(M10/O10)*100</f>
        <v>0</v>
      </c>
      <c r="X10" s="37">
        <f>(N10/O10)*100</f>
        <v>0</v>
      </c>
      <c r="Y10" s="37">
        <f>E10/F10</f>
        <v>0.34930448222565685</v>
      </c>
      <c r="Z10" s="40">
        <f>(SUM(E10,F10)/(K10+0.1))/100</f>
        <v>87.3</v>
      </c>
      <c r="AA10" s="40">
        <f>(SUM(E10,F10)/(L10+0.1))/100</f>
        <v>87.3</v>
      </c>
      <c r="AB10" s="40">
        <f>(SUM(E10,F10)/(M10+0.1))/100</f>
        <v>87.3</v>
      </c>
      <c r="AC10" s="40">
        <f>(SUM(E10,F10)/(N10+0.1))/100</f>
        <v>87.3</v>
      </c>
      <c r="AD10" s="10"/>
    </row>
    <row r="11" ht="39" customHeight="1">
      <c r="A11" s="34">
        <f>A10+1</f>
        <v>77</v>
      </c>
      <c r="B11" s="34" t="s">
        <v>138</v>
      </c>
      <c r="C11" s="35" t="s">
        <v>148</v>
      </c>
      <c r="D11" s="35" t="s">
        <v>105</v>
      </c>
      <c r="E11" s="12">
        <v>811</v>
      </c>
      <c r="F11" s="39">
        <v>344</v>
      </c>
      <c r="G11" s="12">
        <v>4.7</v>
      </c>
      <c r="H11" s="39">
        <v>4.9</v>
      </c>
      <c r="I11" s="12">
        <f>((G11*E11)+(H11*F11))/SUM(E11,F11)</f>
        <v>4.7595670995671</v>
      </c>
      <c r="J11" s="39">
        <v>10</v>
      </c>
      <c r="K11" s="39">
        <v>100</v>
      </c>
      <c r="L11" s="39">
        <v>166</v>
      </c>
      <c r="M11" s="39">
        <v>50</v>
      </c>
      <c r="N11" s="12">
        <f>(K11*0.5)+(L11*0.4)+(M11*0.1)</f>
        <v>121.4</v>
      </c>
      <c r="O11" s="12">
        <v>1630</v>
      </c>
      <c r="P11" s="40">
        <f>ABS(G11-H11)</f>
        <v>0.20000000000000018</v>
      </c>
      <c r="Q11" s="40">
        <f>ABS(G11-I11)</f>
        <v>0.059567099567099824</v>
      </c>
      <c r="R11" s="40">
        <f>ABS(H11-I11)</f>
        <v>0.14043290043290035</v>
      </c>
      <c r="S11" s="37">
        <f>SUM(E11,F11)/O11</f>
        <v>0.7085889570552147</v>
      </c>
      <c r="T11" s="37">
        <f>LOG10(E11+F11)*I11</f>
        <v>14.576564451859293</v>
      </c>
      <c r="U11" s="37">
        <f>(K11/O11)*100</f>
        <v>6.134969325153374</v>
      </c>
      <c r="V11" s="37">
        <f>(L11/O11)*100</f>
        <v>10.184049079754601</v>
      </c>
      <c r="W11" s="37">
        <f>(M11/O11)*100</f>
        <v>3.067484662576687</v>
      </c>
      <c r="X11" s="37">
        <f>(N11/O11)*100</f>
        <v>7.447852760736197</v>
      </c>
      <c r="Y11" s="37">
        <f>E11/F11</f>
        <v>2.3575581395348837</v>
      </c>
      <c r="Z11" s="40">
        <f>(SUM(E11,F11)/(K11+0.1))/100</f>
        <v>0.11538461538461538</v>
      </c>
      <c r="AA11" s="40">
        <f>(SUM(E11,F11)/(L11+0.1))/100</f>
        <v>0.06953642384105961</v>
      </c>
      <c r="AB11" s="40">
        <f>(SUM(E11,F11)/(M11+0.1))/100</f>
        <v>0.2305389221556886</v>
      </c>
      <c r="AC11" s="40">
        <f>(SUM(E11,F11)/(N11+0.1))/100</f>
        <v>0.09506172839506172</v>
      </c>
      <c r="AD11" s="10"/>
    </row>
    <row r="12" ht="28.5" customHeight="1">
      <c r="A12" s="34">
        <f>A11+1</f>
        <v>78</v>
      </c>
      <c r="B12" s="34" t="s">
        <v>138</v>
      </c>
      <c r="C12" s="35" t="s">
        <v>149</v>
      </c>
      <c r="D12" s="35" t="s">
        <v>105</v>
      </c>
      <c r="E12" s="12">
        <v>367</v>
      </c>
      <c r="F12" s="39">
        <v>1709</v>
      </c>
      <c r="G12" s="12">
        <v>4.7</v>
      </c>
      <c r="H12" s="39">
        <v>4.9</v>
      </c>
      <c r="I12" s="12">
        <f>((G12*E12)+(H12*F12))/SUM(E12,F12)</f>
        <v>4.8646435452793835</v>
      </c>
      <c r="J12" s="39">
        <v>11</v>
      </c>
      <c r="K12" s="39">
        <v>0</v>
      </c>
      <c r="L12" s="39">
        <v>0</v>
      </c>
      <c r="M12" s="39">
        <v>0</v>
      </c>
      <c r="N12" s="12">
        <f>(K12*0.5)+(L12*0.4)+(M12*0.1)</f>
        <v>0</v>
      </c>
      <c r="O12" s="12">
        <v>305</v>
      </c>
      <c r="P12" s="40">
        <f>ABS(G12-H12)</f>
        <v>0.20000000000000018</v>
      </c>
      <c r="Q12" s="40">
        <f>ABS(G12-I12)</f>
        <v>0.1646435452793833</v>
      </c>
      <c r="R12" s="40">
        <f>ABS(H12-I12)</f>
        <v>0.03535645472061688</v>
      </c>
      <c r="S12" s="37">
        <f>SUM(E12,F12)/O12</f>
        <v>6.80655737704918</v>
      </c>
      <c r="T12" s="37">
        <f>LOG10(E12+F12)*I12</f>
        <v>16.137128612395312</v>
      </c>
      <c r="U12" s="37">
        <f>(K12/O12)*100</f>
        <v>0</v>
      </c>
      <c r="V12" s="37">
        <f>(L12/O12)*100</f>
        <v>0</v>
      </c>
      <c r="W12" s="37">
        <f>(M12/O12)*100</f>
        <v>0</v>
      </c>
      <c r="X12" s="37">
        <f>(N12/O12)*100</f>
        <v>0</v>
      </c>
      <c r="Y12" s="37">
        <f>E12/F12</f>
        <v>0.2147454651843183</v>
      </c>
      <c r="Z12" s="40">
        <f>(SUM(E12,F12)/(K12+0.1))/100</f>
        <v>207.6</v>
      </c>
      <c r="AA12" s="40">
        <f>(SUM(E12,F12)/(L12+0.1))/100</f>
        <v>207.6</v>
      </c>
      <c r="AB12" s="40">
        <f>(SUM(E12,F12)/(M12+0.1))/100</f>
        <v>207.6</v>
      </c>
      <c r="AC12" s="40">
        <f>(SUM(E12,F12)/(N12+0.1))/100</f>
        <v>207.6</v>
      </c>
      <c r="AD12" s="10"/>
    </row>
    <row r="13">
      <c r="A13" s="34">
        <f>A12+1</f>
        <v>79</v>
      </c>
      <c r="B13" s="34" t="s">
        <v>138</v>
      </c>
      <c r="C13" s="35" t="s">
        <v>150</v>
      </c>
      <c r="D13" s="35" t="s">
        <v>105</v>
      </c>
      <c r="E13" s="12">
        <v>295</v>
      </c>
      <c r="F13" s="39">
        <v>215</v>
      </c>
      <c r="G13" s="12">
        <v>4.5</v>
      </c>
      <c r="H13" s="39">
        <v>4.9</v>
      </c>
      <c r="I13" s="12">
        <f>((G13*E13)+(H13*F13))/SUM(E13,F13)</f>
        <v>4.6686274509803924</v>
      </c>
      <c r="J13" s="39">
        <v>12</v>
      </c>
      <c r="K13" s="39">
        <v>0</v>
      </c>
      <c r="L13" s="39">
        <v>0</v>
      </c>
      <c r="M13" s="39">
        <v>0</v>
      </c>
      <c r="N13" s="12">
        <f>(K13*0.5)+(L13*0.4)+(M13*0.1)</f>
        <v>0</v>
      </c>
      <c r="O13" s="12">
        <v>801</v>
      </c>
      <c r="P13" s="40">
        <f>ABS(G13-H13)</f>
        <v>0.40000000000000036</v>
      </c>
      <c r="Q13" s="40">
        <f>ABS(G13-I13)</f>
        <v>0.16862745098039245</v>
      </c>
      <c r="R13" s="40">
        <f>ABS(H13-I13)</f>
        <v>0.2313725490196079</v>
      </c>
      <c r="S13" s="37">
        <f>SUM(E13,F13)/O13</f>
        <v>0.6367041198501873</v>
      </c>
      <c r="T13" s="37">
        <f>LOG10(E13+F13)*I13</f>
        <v>12.64063644958664</v>
      </c>
      <c r="U13" s="37">
        <f>(K13/O13)*100</f>
        <v>0</v>
      </c>
      <c r="V13" s="37">
        <f>(L13/O13)*100</f>
        <v>0</v>
      </c>
      <c r="W13" s="37">
        <f>(M13/O13)*100</f>
        <v>0</v>
      </c>
      <c r="X13" s="37">
        <f>(N13/O13)*100</f>
        <v>0</v>
      </c>
      <c r="Y13" s="37">
        <f>E13/F13</f>
        <v>1.372093023255814</v>
      </c>
      <c r="Z13" s="40">
        <f>(SUM(E13,F13)/(K13+0.1))/100</f>
        <v>51</v>
      </c>
      <c r="AA13" s="40">
        <f>(SUM(E13,F13)/(L13+0.1))/100</f>
        <v>51</v>
      </c>
      <c r="AB13" s="40">
        <f>(SUM(E13,F13)/(M13+0.1))/100</f>
        <v>51</v>
      </c>
      <c r="AC13" s="40">
        <f>(SUM(E13,F13)/(N13+0.1))/100</f>
        <v>51</v>
      </c>
      <c r="AD13" s="10"/>
    </row>
    <row r="14">
      <c r="A14" s="34">
        <f>A13+1</f>
        <v>80</v>
      </c>
      <c r="B14" s="34" t="s">
        <v>138</v>
      </c>
      <c r="C14" s="35" t="s">
        <v>151</v>
      </c>
      <c r="D14" s="35" t="s">
        <v>105</v>
      </c>
      <c r="E14" s="12">
        <v>2037</v>
      </c>
      <c r="F14" s="39">
        <v>3792</v>
      </c>
      <c r="G14" s="12">
        <v>4.6</v>
      </c>
      <c r="H14" s="39">
        <v>4.6</v>
      </c>
      <c r="I14" s="12">
        <f>((G14*E14)+(H14*F14))/SUM(E14,F14)</f>
        <v>4.599999999999999</v>
      </c>
      <c r="J14" s="39">
        <v>13</v>
      </c>
      <c r="K14" s="39">
        <v>0</v>
      </c>
      <c r="L14" s="39">
        <v>25</v>
      </c>
      <c r="M14" s="39">
        <v>0</v>
      </c>
      <c r="N14" s="12">
        <f>(K14*0.5)+(L14*0.4)+(M14*0.1)</f>
        <v>10</v>
      </c>
      <c r="O14" s="12">
        <v>740</v>
      </c>
      <c r="P14" s="40">
        <f>ABS(G14-H14)</f>
        <v>0</v>
      </c>
      <c r="Q14" s="40">
        <f>ABS(G14-I14)</f>
        <v>8.881784197001252E-16</v>
      </c>
      <c r="R14" s="40">
        <f>ABS(H14-I14)</f>
        <v>8.881784197001252E-16</v>
      </c>
      <c r="S14" s="37">
        <f>SUM(E14,F14)/O14</f>
        <v>7.877027027027027</v>
      </c>
      <c r="T14" s="37">
        <f>LOG10(E14+F14)*I14</f>
        <v>17.321732654469443</v>
      </c>
      <c r="U14" s="37">
        <f>(K14/O14)*100</f>
        <v>0</v>
      </c>
      <c r="V14" s="37">
        <f>(L14/O14)*100</f>
        <v>3.3783783783783785</v>
      </c>
      <c r="W14" s="37">
        <f>(M14/O14)*100</f>
        <v>0</v>
      </c>
      <c r="X14" s="37">
        <f>(N14/O14)*100</f>
        <v>1.3513513513513513</v>
      </c>
      <c r="Y14" s="37">
        <f>E14/F14</f>
        <v>0.5371835443037974</v>
      </c>
      <c r="Z14" s="40">
        <f>(SUM(E14,F14)/(K14+0.1))/100</f>
        <v>582.9</v>
      </c>
      <c r="AA14" s="40">
        <f>(SUM(E14,F14)/(L14+0.1))/100</f>
        <v>2.3223107569721115</v>
      </c>
      <c r="AB14" s="40">
        <f>(SUM(E14,F14)/(M14+0.1))/100</f>
        <v>582.9</v>
      </c>
      <c r="AC14" s="40">
        <f>(SUM(E14,F14)/(N14+0.1))/100</f>
        <v>5.7712871287128715</v>
      </c>
      <c r="AD14" s="10"/>
    </row>
    <row r="15">
      <c r="A15" s="34">
        <f>A14+1</f>
        <v>81</v>
      </c>
      <c r="B15" s="34" t="s">
        <v>138</v>
      </c>
      <c r="C15" s="35" t="s">
        <v>152</v>
      </c>
      <c r="D15" s="35" t="s">
        <v>105</v>
      </c>
      <c r="E15" s="12">
        <v>398</v>
      </c>
      <c r="F15" s="39">
        <v>363</v>
      </c>
      <c r="G15" s="12">
        <v>4.8</v>
      </c>
      <c r="H15" s="39">
        <v>4.9</v>
      </c>
      <c r="I15" s="12">
        <f>((G15*E15)+(H15*F15))/SUM(E15,F15)</f>
        <v>4.847700394218134</v>
      </c>
      <c r="J15" s="39">
        <v>14</v>
      </c>
      <c r="K15" s="39">
        <v>0</v>
      </c>
      <c r="L15" s="39">
        <v>0</v>
      </c>
      <c r="M15" s="39">
        <v>0</v>
      </c>
      <c r="N15" s="12">
        <f>(K15*0.5)+(L15*0.4)+(M15*0.1)</f>
        <v>0</v>
      </c>
      <c r="O15" s="12">
        <v>207</v>
      </c>
      <c r="P15" s="40">
        <f>ABS(G15-H15)</f>
        <v>0.10000000000000053</v>
      </c>
      <c r="Q15" s="40">
        <f>ABS(G15-I15)</f>
        <v>0.047700394218134434</v>
      </c>
      <c r="R15" s="40">
        <f>ABS(H15-I15)</f>
        <v>0.0522996057818661</v>
      </c>
      <c r="S15" s="37">
        <f>SUM(E15,F15)/O15</f>
        <v>3.676328502415459</v>
      </c>
      <c r="T15" s="37">
        <f>LOG10(E15+F15)*I15</f>
        <v>13.96808953652079</v>
      </c>
      <c r="U15" s="37">
        <f>(K15/O15)*100</f>
        <v>0</v>
      </c>
      <c r="V15" s="37">
        <f>(L15/O15)*100</f>
        <v>0</v>
      </c>
      <c r="W15" s="37">
        <f>(M15/O15)*100</f>
        <v>0</v>
      </c>
      <c r="X15" s="37">
        <f>(N15/O15)*100</f>
        <v>0</v>
      </c>
      <c r="Y15" s="37">
        <f>E15/F15</f>
        <v>1.0964187327823691</v>
      </c>
      <c r="Z15" s="40">
        <f>(SUM(E15,F15)/(K15+0.1))/100</f>
        <v>76.1</v>
      </c>
      <c r="AA15" s="40">
        <f>(SUM(E15,F15)/(L15+0.1))/100</f>
        <v>76.1</v>
      </c>
      <c r="AB15" s="40">
        <f>(SUM(E15,F15)/(M15+0.1))/100</f>
        <v>76.1</v>
      </c>
      <c r="AC15" s="40">
        <f>(SUM(E15,F15)/(N15+0.1))/100</f>
        <v>76.1</v>
      </c>
      <c r="AD15" s="10"/>
    </row>
    <row r="16">
      <c r="A16" s="34">
        <f>A15+1</f>
        <v>82</v>
      </c>
      <c r="B16" s="34" t="s">
        <v>138</v>
      </c>
      <c r="C16" s="35" t="s">
        <v>153</v>
      </c>
      <c r="D16" s="35" t="s">
        <v>105</v>
      </c>
      <c r="E16" s="12">
        <v>3253</v>
      </c>
      <c r="F16" s="39">
        <v>7509</v>
      </c>
      <c r="G16" s="12">
        <v>4.6</v>
      </c>
      <c r="H16" s="39">
        <v>4.5</v>
      </c>
      <c r="I16" s="12">
        <f>((G16*E16)+(H16*F16))/SUM(E16,F16)</f>
        <v>4.530226723657313</v>
      </c>
      <c r="J16" s="39">
        <v>15</v>
      </c>
      <c r="K16" s="39">
        <v>0</v>
      </c>
      <c r="L16" s="39">
        <v>20</v>
      </c>
      <c r="M16" s="39">
        <v>0</v>
      </c>
      <c r="N16" s="12">
        <f>(K16*0.5)+(L16*0.4)+(M16*0.1)</f>
        <v>8</v>
      </c>
      <c r="O16" s="12">
        <v>732</v>
      </c>
      <c r="P16" s="40">
        <f>ABS(G16-H16)</f>
        <v>0.09999999999999964</v>
      </c>
      <c r="Q16" s="40">
        <f>ABS(G16-I16)</f>
        <v>0.06977327634268704</v>
      </c>
      <c r="R16" s="40">
        <f>ABS(H16-I16)</f>
        <v>0.030226723657312604</v>
      </c>
      <c r="S16" s="37">
        <f>SUM(E16,F16)/O16</f>
        <v>14.702185792349727</v>
      </c>
      <c r="T16" s="37">
        <f>LOG10(E16+F16)*I16</f>
        <v>18.26538935985252</v>
      </c>
      <c r="U16" s="37">
        <f>(K16/O16)*100</f>
        <v>0</v>
      </c>
      <c r="V16" s="37">
        <f>(L16/O16)*100</f>
        <v>2.73224043715847</v>
      </c>
      <c r="W16" s="37">
        <f>(M16/O16)*100</f>
        <v>0</v>
      </c>
      <c r="X16" s="37">
        <f>(N16/O16)*100</f>
        <v>1.092896174863388</v>
      </c>
      <c r="Y16" s="37">
        <f>E16/F16</f>
        <v>0.43321347716074043</v>
      </c>
      <c r="Z16" s="40">
        <f>(SUM(E16,F16)/(K16+0.1))/100</f>
        <v>1076.2</v>
      </c>
      <c r="AA16" s="40">
        <f>(SUM(E16,F16)/(L16+0.1))/100</f>
        <v>5.354228855721393</v>
      </c>
      <c r="AB16" s="40">
        <f>(SUM(E16,F16)/(M16+0.1))/100</f>
        <v>1076.2</v>
      </c>
      <c r="AC16" s="40">
        <f>(SUM(E16,F16)/(N16+0.1))/100</f>
        <v>13.28641975308642</v>
      </c>
      <c r="AD16" s="10"/>
    </row>
    <row r="17">
      <c r="A17" s="34">
        <f>A16+1</f>
        <v>83</v>
      </c>
      <c r="B17" s="34" t="s">
        <v>138</v>
      </c>
      <c r="C17" s="35" t="s">
        <v>154</v>
      </c>
      <c r="D17" s="35" t="s">
        <v>105</v>
      </c>
      <c r="E17" s="12">
        <v>472</v>
      </c>
      <c r="F17" s="39">
        <v>439</v>
      </c>
      <c r="G17" s="12">
        <v>4.7</v>
      </c>
      <c r="H17" s="39">
        <v>4.8</v>
      </c>
      <c r="I17" s="12">
        <f>((G17*E17)+(H17*F17))/SUM(E17,F17)</f>
        <v>4.748188803512624</v>
      </c>
      <c r="J17" s="39">
        <v>16</v>
      </c>
      <c r="K17" s="39">
        <v>0</v>
      </c>
      <c r="L17" s="39">
        <v>0</v>
      </c>
      <c r="M17" s="39">
        <v>16</v>
      </c>
      <c r="N17" s="12">
        <f>(K17*0.5)+(L17*0.4)+(M17*0.1)</f>
        <v>1.6</v>
      </c>
      <c r="O17" s="12">
        <v>623</v>
      </c>
      <c r="P17" s="40">
        <f>ABS(G17-H17)</f>
        <v>0.09999999999999964</v>
      </c>
      <c r="Q17" s="40">
        <f>ABS(G17-I17)</f>
        <v>0.04818880351262411</v>
      </c>
      <c r="R17" s="40">
        <f>ABS(H17-I17)</f>
        <v>0.05181119648737553</v>
      </c>
      <c r="S17" s="37">
        <f>SUM(E17,F17)/O17</f>
        <v>1.4622792937399678</v>
      </c>
      <c r="T17" s="37">
        <f>LOG10(E17+F17)*I17</f>
        <v>14.052352021333045</v>
      </c>
      <c r="U17" s="37">
        <f>(K17/O17)*100</f>
        <v>0</v>
      </c>
      <c r="V17" s="37">
        <f>(L17/O17)*100</f>
        <v>0</v>
      </c>
      <c r="W17" s="37">
        <f>(M17/O17)*100</f>
        <v>2.568218298555377</v>
      </c>
      <c r="X17" s="37">
        <f>(N17/O17)*100</f>
        <v>0.2568218298555377</v>
      </c>
      <c r="Y17" s="37">
        <f>E17/F17</f>
        <v>1.0751708428246014</v>
      </c>
      <c r="Z17" s="40">
        <f>(SUM(E17,F17)/(K17+0.1))/100</f>
        <v>91.1</v>
      </c>
      <c r="AA17" s="40">
        <f>(SUM(E17,F17)/(L17+0.1))/100</f>
        <v>91.1</v>
      </c>
      <c r="AB17" s="40">
        <f>(SUM(E17,F17)/(M17+0.1))/100</f>
        <v>0.5658385093167702</v>
      </c>
      <c r="AC17" s="40">
        <f>(SUM(E17,F17)/(N17+0.1))/100</f>
        <v>5.358823529411764</v>
      </c>
      <c r="AD17" s="10"/>
    </row>
    <row r="18">
      <c r="A18" s="34">
        <f>A17+1</f>
        <v>84</v>
      </c>
      <c r="B18" s="34" t="s">
        <v>138</v>
      </c>
      <c r="C18" s="35" t="s">
        <v>155</v>
      </c>
      <c r="D18" s="35" t="s">
        <v>105</v>
      </c>
      <c r="E18" s="12">
        <v>992</v>
      </c>
      <c r="F18" s="39">
        <v>1609</v>
      </c>
      <c r="G18" s="12">
        <v>4.7</v>
      </c>
      <c r="H18" s="39">
        <v>4.5</v>
      </c>
      <c r="I18" s="12">
        <f>((G18*E18)+(H18*F18))/SUM(E18,F18)</f>
        <v>4.576278354479047</v>
      </c>
      <c r="J18" s="39">
        <v>17</v>
      </c>
      <c r="K18" s="39">
        <v>0</v>
      </c>
      <c r="L18" s="39">
        <v>0</v>
      </c>
      <c r="M18" s="39">
        <v>0</v>
      </c>
      <c r="N18" s="12">
        <f>(K18*0.5)+(L18*0.4)+(M18*0.1)</f>
        <v>0</v>
      </c>
      <c r="O18" s="12">
        <v>799</v>
      </c>
      <c r="P18" s="40">
        <f>ABS(G18-H18)</f>
        <v>0.20000000000000018</v>
      </c>
      <c r="Q18" s="40">
        <f>ABS(G18-I18)</f>
        <v>0.12372164552095288</v>
      </c>
      <c r="R18" s="40">
        <f>ABS(H18-I18)</f>
        <v>0.0762783544790473</v>
      </c>
      <c r="S18" s="37">
        <f>SUM(E18,F18)/O18</f>
        <v>3.25531914893617</v>
      </c>
      <c r="T18" s="37">
        <f>LOG10(E18+F18)*I18</f>
        <v>15.628632871261921</v>
      </c>
      <c r="U18" s="37">
        <f>(K18/O18)*100</f>
        <v>0</v>
      </c>
      <c r="V18" s="37">
        <f>(L18/O18)*100</f>
        <v>0</v>
      </c>
      <c r="W18" s="37">
        <f>(M18/O18)*100</f>
        <v>0</v>
      </c>
      <c r="X18" s="37">
        <f>(N18/O18)*100</f>
        <v>0</v>
      </c>
      <c r="Y18" s="37">
        <f>E18/F18</f>
        <v>0.6165320074580485</v>
      </c>
      <c r="Z18" s="40">
        <f>(SUM(E18,F18)/(K18+0.1))/100</f>
        <v>260.1</v>
      </c>
      <c r="AA18" s="40">
        <f>(SUM(E18,F18)/(L18+0.1))/100</f>
        <v>260.1</v>
      </c>
      <c r="AB18" s="40">
        <f>(SUM(E18,F18)/(M18+0.1))/100</f>
        <v>260.1</v>
      </c>
      <c r="AC18" s="40">
        <f>(SUM(E18,F18)/(N18+0.1))/100</f>
        <v>260.1</v>
      </c>
      <c r="AD18" s="10"/>
    </row>
    <row r="19">
      <c r="A19" s="34">
        <f>A18+1</f>
        <v>85</v>
      </c>
      <c r="B19" s="34" t="s">
        <v>138</v>
      </c>
      <c r="C19" s="35" t="s">
        <v>156</v>
      </c>
      <c r="D19" s="35" t="s">
        <v>105</v>
      </c>
      <c r="E19" s="12">
        <v>1322</v>
      </c>
      <c r="F19" s="39">
        <v>598</v>
      </c>
      <c r="G19" s="12">
        <v>4.6</v>
      </c>
      <c r="H19" s="39">
        <v>4.7</v>
      </c>
      <c r="I19" s="12">
        <f>((G19*E19)+(H19*F19))/SUM(E19,F19)</f>
        <v>4.631145833333333</v>
      </c>
      <c r="J19" s="39">
        <v>18</v>
      </c>
      <c r="K19" s="39">
        <v>0</v>
      </c>
      <c r="L19" s="39">
        <v>0</v>
      </c>
      <c r="M19" s="39">
        <v>0</v>
      </c>
      <c r="N19" s="12">
        <f>(K19*0.5)+(L19*0.4)+(M19*0.1)</f>
        <v>0</v>
      </c>
      <c r="O19" s="12">
        <v>1010</v>
      </c>
      <c r="P19" s="40">
        <f>ABS(G19-H19)</f>
        <v>0.10000000000000053</v>
      </c>
      <c r="Q19" s="40">
        <f>ABS(G19-I19)</f>
        <v>0.031145833333333428</v>
      </c>
      <c r="R19" s="40">
        <f>ABS(H19-I19)</f>
        <v>0.0688541666666671</v>
      </c>
      <c r="S19" s="37">
        <f>SUM(E19,F19)/O19</f>
        <v>1.900990099009901</v>
      </c>
      <c r="T19" s="37">
        <f>LOG10(E19+F19)*I19</f>
        <v>15.205446804888657</v>
      </c>
      <c r="U19" s="37">
        <f>(K19/O19)*100</f>
        <v>0</v>
      </c>
      <c r="V19" s="37">
        <f>(L19/O19)*100</f>
        <v>0</v>
      </c>
      <c r="W19" s="37">
        <f>(M19/O19)*100</f>
        <v>0</v>
      </c>
      <c r="X19" s="37">
        <f>(N19/O19)*100</f>
        <v>0</v>
      </c>
      <c r="Y19" s="37">
        <f>E19/F19</f>
        <v>2.210702341137124</v>
      </c>
      <c r="Z19" s="40">
        <f>(SUM(E19,F19)/(K19+0.1))/100</f>
        <v>192</v>
      </c>
      <c r="AA19" s="40">
        <f>(SUM(E19,F19)/(L19+0.1))/100</f>
        <v>192</v>
      </c>
      <c r="AB19" s="40">
        <f>(SUM(E19,F19)/(M19+0.1))/100</f>
        <v>192</v>
      </c>
      <c r="AC19" s="40">
        <f>(SUM(E19,F19)/(N19+0.1))/100</f>
        <v>192</v>
      </c>
      <c r="AD19" s="10"/>
    </row>
    <row r="20">
      <c r="A20" s="34">
        <f>A19+1</f>
        <v>86</v>
      </c>
      <c r="B20" s="34" t="s">
        <v>138</v>
      </c>
      <c r="C20" s="35" t="s">
        <v>157</v>
      </c>
      <c r="D20" s="35" t="s">
        <v>105</v>
      </c>
      <c r="E20" s="12">
        <v>321</v>
      </c>
      <c r="F20" s="39">
        <v>335</v>
      </c>
      <c r="G20" s="12">
        <v>4.7</v>
      </c>
      <c r="H20" s="39">
        <v>4.8</v>
      </c>
      <c r="I20" s="12">
        <f>((G20*E20)+(H20*F20))/SUM(E20,F20)</f>
        <v>4.751067073170732</v>
      </c>
      <c r="J20" s="39">
        <v>19</v>
      </c>
      <c r="K20" s="39">
        <v>0</v>
      </c>
      <c r="L20" s="39">
        <v>0</v>
      </c>
      <c r="M20" s="39">
        <v>0</v>
      </c>
      <c r="N20" s="12">
        <f>(K20*0.5)+(L20*0.4)+(M20*0.1)</f>
        <v>0</v>
      </c>
      <c r="O20" s="12">
        <v>346</v>
      </c>
      <c r="P20" s="40">
        <f>ABS(G20-H20)</f>
        <v>0.09999999999999964</v>
      </c>
      <c r="Q20" s="40">
        <f>ABS(G20-I20)</f>
        <v>0.05106707317073145</v>
      </c>
      <c r="R20" s="40">
        <f>ABS(H20-I20)</f>
        <v>0.0489329268292682</v>
      </c>
      <c r="S20" s="37">
        <f>SUM(E20,F20)/O20</f>
        <v>1.8959537572254335</v>
      </c>
      <c r="T20" s="37">
        <f>LOG10(E20+F20)*I20</f>
        <v>13.383299079545916</v>
      </c>
      <c r="U20" s="37">
        <f>(K20/O20)*100</f>
        <v>0</v>
      </c>
      <c r="V20" s="37">
        <f>(L20/O20)*100</f>
        <v>0</v>
      </c>
      <c r="W20" s="37">
        <f>(M20/O20)*100</f>
        <v>0</v>
      </c>
      <c r="X20" s="37">
        <f>(N20/O20)*100</f>
        <v>0</v>
      </c>
      <c r="Y20" s="37">
        <f>E20/F20</f>
        <v>0.9582089552238806</v>
      </c>
      <c r="Z20" s="40">
        <f>(SUM(E20,F20)/(K20+0.1))/100</f>
        <v>65.6</v>
      </c>
      <c r="AA20" s="40">
        <f>(SUM(E20,F20)/(L20+0.1))/100</f>
        <v>65.6</v>
      </c>
      <c r="AB20" s="40">
        <f>(SUM(E20,F20)/(M20+0.1))/100</f>
        <v>65.6</v>
      </c>
      <c r="AC20" s="40">
        <f>(SUM(E20,F20)/(N20+0.1))/100</f>
        <v>65.6</v>
      </c>
      <c r="AD20" s="10"/>
    </row>
    <row r="21" s="2" customFormat="1" ht="30.75">
      <c r="A21" s="34">
        <f>A20+1</f>
        <v>87</v>
      </c>
      <c r="B21" s="34" t="s">
        <v>138</v>
      </c>
      <c r="C21" s="35" t="s">
        <v>158</v>
      </c>
      <c r="D21" s="35" t="s">
        <v>105</v>
      </c>
      <c r="E21" s="12">
        <v>977</v>
      </c>
      <c r="F21" s="39">
        <v>1597</v>
      </c>
      <c r="G21" s="12">
        <v>4.6</v>
      </c>
      <c r="H21" s="39">
        <v>4.4</v>
      </c>
      <c r="I21" s="12">
        <f>((G21*E21)+(H21*F21))/SUM(E21,F21)</f>
        <v>4.475912975912976</v>
      </c>
      <c r="J21" s="39">
        <v>20</v>
      </c>
      <c r="K21" s="39">
        <v>0</v>
      </c>
      <c r="L21" s="39">
        <v>0</v>
      </c>
      <c r="M21" s="39">
        <v>0</v>
      </c>
      <c r="N21" s="12">
        <f>(K21*0.5)+(L21*0.4)+(M21*0.1)</f>
        <v>0</v>
      </c>
      <c r="O21" s="12">
        <v>778</v>
      </c>
      <c r="P21" s="40">
        <f>ABS(G21-H21)</f>
        <v>0.1999999999999993</v>
      </c>
      <c r="Q21" s="40">
        <f>ABS(G21-I21)</f>
        <v>0.12408702408702332</v>
      </c>
      <c r="R21" s="40">
        <f>ABS(H21-I21)</f>
        <v>0.07591297591297597</v>
      </c>
      <c r="S21" s="37">
        <f>SUM(E21,F21)/O21</f>
        <v>3.308483290488432</v>
      </c>
      <c r="T21" s="37">
        <f>LOG10(E21+F21)*I21</f>
        <v>15.265587031441402</v>
      </c>
      <c r="U21" s="37">
        <f>(K21/O21)*100</f>
        <v>0</v>
      </c>
      <c r="V21" s="37">
        <f>(L21/O21)*100</f>
        <v>0</v>
      </c>
      <c r="W21" s="37">
        <f>(M21/O21)*100</f>
        <v>0</v>
      </c>
      <c r="X21" s="37">
        <f>(N21/O21)*100</f>
        <v>0</v>
      </c>
      <c r="Y21" s="37">
        <f>E21/F21</f>
        <v>0.6117720726361928</v>
      </c>
      <c r="Z21" s="40">
        <f>(SUM(E21,F21)/(K21+0.1))/100</f>
        <v>257.4</v>
      </c>
      <c r="AA21" s="40">
        <f>(SUM(E21,F21)/(L21+0.1))/100</f>
        <v>257.4</v>
      </c>
      <c r="AB21" s="40">
        <f>(SUM(E21,F21)/(M21+0.1))/100</f>
        <v>257.4</v>
      </c>
      <c r="AC21" s="40">
        <f>(SUM(E21,F21)/(N21+0.1))/100</f>
        <v>257.4</v>
      </c>
      <c r="AD21" s="10"/>
    </row>
    <row r="22">
      <c r="A22" s="34">
        <f>A21+1</f>
        <v>88</v>
      </c>
      <c r="B22" s="34" t="s">
        <v>138</v>
      </c>
      <c r="C22" s="35" t="s">
        <v>159</v>
      </c>
      <c r="D22" s="35" t="s">
        <v>105</v>
      </c>
      <c r="E22" s="13">
        <v>718</v>
      </c>
      <c r="F22" s="39">
        <v>522</v>
      </c>
      <c r="G22" s="13">
        <v>4.8</v>
      </c>
      <c r="H22" s="39">
        <v>4.8</v>
      </c>
      <c r="I22" s="12">
        <f>((G22*E22)+(H22*F22))/SUM(E22,F22)</f>
        <v>4.8</v>
      </c>
      <c r="J22" s="39">
        <v>21</v>
      </c>
      <c r="K22" s="39">
        <v>0</v>
      </c>
      <c r="L22" s="39">
        <v>0</v>
      </c>
      <c r="M22" s="39">
        <v>0</v>
      </c>
      <c r="N22" s="12">
        <f>(K22*0.5)+(L22*0.4)+(M22*0.1)</f>
        <v>0</v>
      </c>
      <c r="O22" s="12">
        <v>527</v>
      </c>
      <c r="P22" s="40">
        <f>ABS(G22-H22)</f>
        <v>0</v>
      </c>
      <c r="Q22" s="40">
        <f>ABS(G22-I22)</f>
        <v>0</v>
      </c>
      <c r="R22" s="40">
        <f>ABS(H22-I22)</f>
        <v>0</v>
      </c>
      <c r="S22" s="37">
        <f>SUM(E22,F22)/O22</f>
        <v>2.3529411764705883</v>
      </c>
      <c r="T22" s="37">
        <f>LOG10(E22+F22)*I22</f>
        <v>14.848424088778728</v>
      </c>
      <c r="U22" s="37">
        <f>(K22/O22)*100</f>
        <v>0</v>
      </c>
      <c r="V22" s="37">
        <f>(L22/O22)*100</f>
        <v>0</v>
      </c>
      <c r="W22" s="37">
        <f>(M22/O22)*100</f>
        <v>0</v>
      </c>
      <c r="X22" s="37">
        <f>(N22/O22)*100</f>
        <v>0</v>
      </c>
      <c r="Y22" s="37">
        <f>E22/F22</f>
        <v>1.3754789272030652</v>
      </c>
      <c r="Z22" s="40">
        <f>(SUM(E22,F22)/(K22+0.1))/100</f>
        <v>124</v>
      </c>
      <c r="AA22" s="40">
        <f>(SUM(E22,F22)/(L22+0.1))/100</f>
        <v>124</v>
      </c>
      <c r="AB22" s="40">
        <f>(SUM(E22,F22)/(M22+0.1))/100</f>
        <v>124</v>
      </c>
      <c r="AC22" s="40">
        <f>(SUM(E22,F22)/(N22+0.1))/100</f>
        <v>124</v>
      </c>
      <c r="AD22" s="10"/>
    </row>
    <row r="23">
      <c r="A23" s="34">
        <f>A22+1</f>
        <v>89</v>
      </c>
      <c r="B23" s="34" t="s">
        <v>138</v>
      </c>
      <c r="C23" s="35" t="s">
        <v>160</v>
      </c>
      <c r="D23" s="35" t="s">
        <v>105</v>
      </c>
      <c r="E23" s="12">
        <v>556</v>
      </c>
      <c r="F23" s="39">
        <v>2438</v>
      </c>
      <c r="G23" s="12">
        <v>4.7</v>
      </c>
      <c r="H23" s="39">
        <v>4.6</v>
      </c>
      <c r="I23" s="12">
        <f>((G23*E23)+(H23*F23))/SUM(E23,F23)</f>
        <v>4.618570474281897</v>
      </c>
      <c r="J23" s="39">
        <v>22</v>
      </c>
      <c r="K23" s="39">
        <v>0</v>
      </c>
      <c r="L23" s="39">
        <v>0</v>
      </c>
      <c r="M23" s="39">
        <v>0</v>
      </c>
      <c r="N23" s="12">
        <f>(K23*0.5)+(L23*0.4)+(M23*0.1)</f>
        <v>0</v>
      </c>
      <c r="O23" s="12">
        <v>266</v>
      </c>
      <c r="P23" s="40">
        <f>ABS(G23-H23)</f>
        <v>0.10000000000000053</v>
      </c>
      <c r="Q23" s="40">
        <f>ABS(G23-I23)</f>
        <v>0.0814295257181028</v>
      </c>
      <c r="R23" s="40">
        <f>ABS(H23-I23)</f>
        <v>0.01857047428189773</v>
      </c>
      <c r="S23" s="37">
        <f>SUM(E23,F23)/O23</f>
        <v>11.25563909774436</v>
      </c>
      <c r="T23" s="37">
        <f>LOG10(E23+F23)*I23</f>
        <v>16.055313906207502</v>
      </c>
      <c r="U23" s="37">
        <f>(K23/O23)*100</f>
        <v>0</v>
      </c>
      <c r="V23" s="37">
        <f>(L23/O23)*100</f>
        <v>0</v>
      </c>
      <c r="W23" s="37">
        <f>(M23/O23)*100</f>
        <v>0</v>
      </c>
      <c r="X23" s="37">
        <f>(N23/O23)*100</f>
        <v>0</v>
      </c>
      <c r="Y23" s="37">
        <f>E23/F23</f>
        <v>0.2280557834290402</v>
      </c>
      <c r="Z23" s="40">
        <f>(SUM(E23,F23)/(K23+0.1))/100</f>
        <v>299.4</v>
      </c>
      <c r="AA23" s="40">
        <f>(SUM(E23,F23)/(L23+0.1))/100</f>
        <v>299.4</v>
      </c>
      <c r="AB23" s="40">
        <f>(SUM(E23,F23)/(M23+0.1))/100</f>
        <v>299.4</v>
      </c>
      <c r="AC23" s="40">
        <f>(SUM(E23,F23)/(N23+0.1))/100</f>
        <v>299.4</v>
      </c>
      <c r="AD23" s="10"/>
    </row>
    <row r="24">
      <c r="A24" s="34">
        <f>A23+1</f>
        <v>90</v>
      </c>
      <c r="B24" s="34" t="s">
        <v>138</v>
      </c>
      <c r="C24" s="35" t="s">
        <v>161</v>
      </c>
      <c r="D24" s="35" t="s">
        <v>105</v>
      </c>
      <c r="E24" s="12">
        <v>1146</v>
      </c>
      <c r="F24" s="39">
        <v>1252</v>
      </c>
      <c r="G24" s="12">
        <v>4.6</v>
      </c>
      <c r="H24" s="39">
        <v>4.6</v>
      </c>
      <c r="I24" s="12">
        <f>((G24*E24)+(H24*F24))/SUM(E24,F24)</f>
        <v>4.6</v>
      </c>
      <c r="J24" s="39">
        <v>23</v>
      </c>
      <c r="K24" s="39">
        <v>0</v>
      </c>
      <c r="L24" s="39">
        <v>20</v>
      </c>
      <c r="M24" s="39">
        <v>0</v>
      </c>
      <c r="N24" s="12">
        <f>(K24*0.5)+(L24*0.4)+(M24*0.1)</f>
        <v>8</v>
      </c>
      <c r="O24" s="12">
        <v>1120</v>
      </c>
      <c r="P24" s="40">
        <f>ABS(G24-H24)</f>
        <v>0</v>
      </c>
      <c r="Q24" s="40">
        <f>ABS(G24-I24)</f>
        <v>0</v>
      </c>
      <c r="R24" s="40">
        <f>ABS(H24-I24)</f>
        <v>0</v>
      </c>
      <c r="S24" s="37">
        <f>SUM(E24,F24)/O24</f>
        <v>2.1410714285714287</v>
      </c>
      <c r="T24" s="37">
        <f>LOG10(E24+F24)*I24</f>
        <v>15.547306222309016</v>
      </c>
      <c r="U24" s="37">
        <f>(K24/O24)*100</f>
        <v>0</v>
      </c>
      <c r="V24" s="37">
        <f>(L24/O24)*100</f>
        <v>1.7857142857142856</v>
      </c>
      <c r="W24" s="37">
        <f>(M24/O24)*100</f>
        <v>0</v>
      </c>
      <c r="X24" s="37">
        <f>(N24/O24)*100</f>
        <v>0.7142857142857143</v>
      </c>
      <c r="Y24" s="37">
        <f>E24/F24</f>
        <v>0.9153354632587859</v>
      </c>
      <c r="Z24" s="40">
        <f>(SUM(E24,F24)/(K24+0.1))/100</f>
        <v>239.8</v>
      </c>
      <c r="AA24" s="40">
        <f>(SUM(E24,F24)/(L24+0.1))/100</f>
        <v>1.1930348258706467</v>
      </c>
      <c r="AB24" s="40">
        <f>(SUM(E24,F24)/(M24+0.1))/100</f>
        <v>239.8</v>
      </c>
      <c r="AC24" s="40">
        <f>(SUM(E24,F24)/(N24+0.1))/100</f>
        <v>2.9604938271604944</v>
      </c>
      <c r="AD24" s="10"/>
    </row>
    <row r="25">
      <c r="A25" s="34">
        <f>A24+1</f>
        <v>91</v>
      </c>
      <c r="B25" s="34" t="s">
        <v>138</v>
      </c>
      <c r="C25" s="35" t="s">
        <v>162</v>
      </c>
      <c r="D25" s="35" t="s">
        <v>105</v>
      </c>
      <c r="E25" s="12">
        <v>749</v>
      </c>
      <c r="F25" s="39">
        <v>1692</v>
      </c>
      <c r="G25" s="12">
        <v>4.3</v>
      </c>
      <c r="H25" s="39">
        <v>4.6</v>
      </c>
      <c r="I25" s="12">
        <f>((G25*E25)+(H25*F25))/SUM(E25,F25)</f>
        <v>4.507947562474396</v>
      </c>
      <c r="J25" s="39">
        <v>24</v>
      </c>
      <c r="K25" s="39">
        <v>0</v>
      </c>
      <c r="L25" s="39">
        <v>0</v>
      </c>
      <c r="M25" s="39">
        <v>0</v>
      </c>
      <c r="N25" s="12">
        <f>(K25*0.5)+(L25*0.4)+(M25*0.1)</f>
        <v>0</v>
      </c>
      <c r="O25" s="13">
        <v>406</v>
      </c>
      <c r="P25" s="40">
        <f>ABS(G25-H25)</f>
        <v>0.2999999999999998</v>
      </c>
      <c r="Q25" s="40">
        <f>ABS(G25-I25)</f>
        <v>0.20794756247439583</v>
      </c>
      <c r="R25" s="40">
        <f>ABS(H25-I25)</f>
        <v>0.09205243752560399</v>
      </c>
      <c r="S25" s="37">
        <f>SUM(E25,F25)/O25</f>
        <v>6.012315270935961</v>
      </c>
      <c r="T25" s="37">
        <f>LOG10(E25+F25)*I25</f>
        <v>15.270977913940518</v>
      </c>
      <c r="U25" s="37">
        <f>(K25/O25)*100</f>
        <v>0</v>
      </c>
      <c r="V25" s="37">
        <f>(L25/O25)*100</f>
        <v>0</v>
      </c>
      <c r="W25" s="37">
        <f>(M25/O25)*100</f>
        <v>0</v>
      </c>
      <c r="X25" s="37">
        <f>(N25/O25)*100</f>
        <v>0</v>
      </c>
      <c r="Y25" s="37">
        <f>E25/F25</f>
        <v>0.4426713947990544</v>
      </c>
      <c r="Z25" s="40">
        <f>(SUM(E25,F25)/(K25+0.1))/100</f>
        <v>244.1</v>
      </c>
      <c r="AA25" s="40">
        <f>(SUM(E25,F25)/(L25+0.1))/100</f>
        <v>244.1</v>
      </c>
      <c r="AB25" s="40">
        <f>(SUM(E25,F25)/(M25+0.1))/100</f>
        <v>244.1</v>
      </c>
      <c r="AC25" s="40">
        <f>(SUM(E25,F25)/(N25+0.1))/100</f>
        <v>244.1</v>
      </c>
      <c r="AD25" s="10"/>
    </row>
    <row r="26">
      <c r="A26" s="34">
        <f>A25+1</f>
        <v>92</v>
      </c>
      <c r="B26" s="34" t="s">
        <v>138</v>
      </c>
      <c r="C26" s="35" t="s">
        <v>163</v>
      </c>
      <c r="D26" s="35" t="s">
        <v>105</v>
      </c>
      <c r="E26" s="12">
        <v>4046</v>
      </c>
      <c r="F26" s="39">
        <v>286</v>
      </c>
      <c r="G26" s="12">
        <v>4.3</v>
      </c>
      <c r="H26" s="39">
        <v>4.7</v>
      </c>
      <c r="I26" s="12">
        <f>((G26*E26)+(H26*F26))/SUM(E26,F26)</f>
        <v>4.3264081255771005</v>
      </c>
      <c r="J26" s="39">
        <v>25</v>
      </c>
      <c r="K26" s="39">
        <v>100</v>
      </c>
      <c r="L26" s="39">
        <v>95</v>
      </c>
      <c r="M26" s="39">
        <v>50</v>
      </c>
      <c r="N26" s="12">
        <f>(K26*0.5)+(L26*0.4)+(M26*0.1)</f>
        <v>93</v>
      </c>
      <c r="O26" s="40">
        <v>1580</v>
      </c>
      <c r="P26" s="40">
        <f>ABS(G26-H26)</f>
        <v>0.40000000000000036</v>
      </c>
      <c r="Q26" s="40">
        <f>ABS(G26-I26)</f>
        <v>0.026408125577100705</v>
      </c>
      <c r="R26" s="40">
        <f>ABS(H26-I26)</f>
        <v>0.37359187442289965</v>
      </c>
      <c r="S26" s="40">
        <f>SUM(E26,F26)/O26</f>
        <v>2.741772151898734</v>
      </c>
      <c r="T26" s="37">
        <f>LOG10(E26+F26)*I26</f>
        <v>15.733798451417456</v>
      </c>
      <c r="U26" s="37">
        <f>(K26/O26)*100</f>
        <v>6.329113924050633</v>
      </c>
      <c r="V26" s="37">
        <f>(L26/O26)*100</f>
        <v>6.012658227848101</v>
      </c>
      <c r="W26" s="37">
        <f>(M26/O26)*100</f>
        <v>3.1645569620253164</v>
      </c>
      <c r="X26" s="40">
        <f>(N26/O26)*100</f>
        <v>5.886075949367089</v>
      </c>
      <c r="Y26" s="37">
        <f>E26/F26</f>
        <v>14.146853146853147</v>
      </c>
      <c r="Z26" s="40">
        <f>(SUM(E26,F26)/(K26+0.1))/100</f>
        <v>0.43276723276723283</v>
      </c>
      <c r="AA26" s="40">
        <f>(SUM(E26,F26)/(L26+0.1))/100</f>
        <v>0.45552050473186123</v>
      </c>
      <c r="AB26" s="40">
        <f>(SUM(E26,F26)/(M26+0.1))/100</f>
        <v>0.8646706586826347</v>
      </c>
      <c r="AC26" s="40">
        <f>(SUM(E26,F26)/(N26+0.1))/100</f>
        <v>0.4653061224489796</v>
      </c>
    </row>
    <row r="28">
      <c r="B28" s="11" t="s">
        <v>56</v>
      </c>
    </row>
    <row r="31">
      <c r="M31" t="s">
        <v>164</v>
      </c>
    </row>
  </sheetData>
  <pageMargins left="0.699999988079071" right="0.699999988079071" top="0.75" bottom="0.75" header="0.30000001192092896" footer="0.30000001192092896"/>
  <pageSetup paperSize="9" orientation="portrait" r:id="rId1"/>
  <legacyDrawing r:id="rId3"/>
</worksheet>
</file>

<file path=xl/worksheets/sheet10.xml><?xml version="1.0" encoding="utf-8"?>
<worksheet xmlns="http://schemas.openxmlformats.org/spreadsheetml/2006/main" xmlns:r="http://schemas.openxmlformats.org/officeDocument/2006/relationships">
  <dimension ref="A1:AC26"/>
  <sheetViews>
    <sheetView zoomScale="70" zoomScaleNormal="70" topLeftCell="M1" workbookViewId="0">
      <selection activeCell="X33" sqref="X33"/>
    </sheetView>
  </sheetViews>
  <sheetFormatPr defaultColWidth="11.421875" defaultRowHeight="15"/>
  <cols>
    <col min="1" max="1" width="5.421875" customWidth="1"/>
    <col min="2" max="2" width="27.57421875" customWidth="1"/>
    <col min="3" max="4" width="31.57421875" customWidth="1"/>
    <col min="5" max="5" width="37.00390625" customWidth="1"/>
    <col min="6" max="6" width="37.28125" customWidth="1"/>
    <col min="7" max="7" width="24.57421875" customWidth="1"/>
    <col min="8" max="8" width="20.140625" customWidth="1"/>
    <col min="9" max="9" width="19.140625" customWidth="1"/>
    <col min="10" max="13" width="17.421875" customWidth="1"/>
    <col min="14" max="14" width="21.00390625" customWidth="1"/>
    <col min="15" max="15" width="24.28125" customWidth="1"/>
    <col min="16" max="17" width="16.8515625" customWidth="1"/>
    <col min="18" max="18" width="21.00390625" customWidth="1"/>
    <col min="19" max="19" width="27.28125" customWidth="1"/>
    <col min="20" max="23" width="23.57421875" customWidth="1"/>
    <col min="24" max="24" width="22.28125" customWidth="1"/>
    <col min="25" max="28" width="18.57421875" customWidth="1"/>
    <col min="29" max="29" width="15.421875" customWidth="1"/>
  </cols>
  <sheetData>
    <row r="1" ht="75">
      <c r="A1" s="3" t="s">
        <v>0</v>
      </c>
      <c r="B1" s="3" t="s">
        <v>1</v>
      </c>
      <c r="C1" s="3" t="s">
        <v>2</v>
      </c>
      <c r="D1" s="3" t="s">
        <v>3</v>
      </c>
      <c r="E1" s="3" t="s">
        <v>4</v>
      </c>
      <c r="F1" s="3" t="s">
        <v>5</v>
      </c>
      <c r="G1" s="3" t="s">
        <v>6</v>
      </c>
      <c r="H1" s="3" t="s">
        <v>7</v>
      </c>
      <c r="I1" s="3" t="s">
        <v>8</v>
      </c>
      <c r="J1" s="3" t="s">
        <v>9</v>
      </c>
      <c r="K1" s="7" t="s">
        <v>10</v>
      </c>
      <c r="L1" s="7" t="s">
        <v>11</v>
      </c>
      <c r="M1" s="7" t="s">
        <v>12</v>
      </c>
      <c r="N1" s="7" t="s">
        <v>102</v>
      </c>
      <c r="O1" s="4" t="s">
        <v>14</v>
      </c>
      <c r="P1" s="6" t="s">
        <v>15</v>
      </c>
      <c r="Q1" s="6" t="s">
        <v>16</v>
      </c>
      <c r="R1" s="6" t="s">
        <v>17</v>
      </c>
      <c r="S1" s="3" t="s">
        <v>18</v>
      </c>
      <c r="T1" s="3" t="s">
        <v>19</v>
      </c>
      <c r="U1" s="26" t="s">
        <v>20</v>
      </c>
      <c r="V1" s="26" t="s">
        <v>21</v>
      </c>
      <c r="W1" s="26" t="s">
        <v>22</v>
      </c>
      <c r="X1" s="26" t="s">
        <v>24</v>
      </c>
      <c r="Y1" s="3" t="s">
        <v>23</v>
      </c>
      <c r="Z1" s="26" t="s">
        <v>25</v>
      </c>
      <c r="AA1" s="26" t="s">
        <v>26</v>
      </c>
      <c r="AB1" s="26" t="s">
        <v>27</v>
      </c>
      <c r="AC1" s="3" t="s">
        <v>165</v>
      </c>
    </row>
    <row r="2" ht="30.75">
      <c r="A2" s="34">
        <f>'Hotel 3.1 (TripAdvisor)'!A26+1</f>
        <v>93</v>
      </c>
      <c r="B2" s="34" t="s">
        <v>138</v>
      </c>
      <c r="C2" s="35" t="s">
        <v>166</v>
      </c>
      <c r="D2" s="35" t="s">
        <v>131</v>
      </c>
      <c r="E2" s="12">
        <v>646</v>
      </c>
      <c r="F2" s="39">
        <v>327</v>
      </c>
      <c r="G2" s="12">
        <v>4.6</v>
      </c>
      <c r="H2" s="39">
        <v>4.6</v>
      </c>
      <c r="I2" s="12">
        <f>((G2*E2)+(H2*F2))/SUM(E2,F2)</f>
        <v>4.6</v>
      </c>
      <c r="J2" s="40">
        <v>52</v>
      </c>
      <c r="K2" s="40">
        <v>0</v>
      </c>
      <c r="L2" s="40">
        <v>14</v>
      </c>
      <c r="M2" s="40">
        <v>0</v>
      </c>
      <c r="N2" s="40">
        <f>(K2*0.5)+(L2*0.4)+(M2*0.1)</f>
        <v>5.6000000000000005</v>
      </c>
      <c r="O2" s="40">
        <v>666</v>
      </c>
      <c r="P2" s="40">
        <f>ABS(G2-H2)</f>
        <v>0</v>
      </c>
      <c r="Q2" s="40">
        <f>ABS(G2-I2)</f>
        <v>0</v>
      </c>
      <c r="R2" s="40">
        <f>ABS(H2-I2)</f>
        <v>0</v>
      </c>
      <c r="S2" s="37">
        <f>SUM(E2,F2)/O2</f>
        <v>1.460960960960961</v>
      </c>
      <c r="T2" s="37">
        <f>LOG10(E2+F2)*I2</f>
        <v>13.745319065234417</v>
      </c>
      <c r="U2" s="37">
        <f>(K2/O2)*100</f>
        <v>0</v>
      </c>
      <c r="V2" s="37">
        <f>(L2/O2)*100</f>
        <v>2.1021021021021022</v>
      </c>
      <c r="W2" s="37">
        <f>(M2/O2)*100</f>
        <v>0</v>
      </c>
      <c r="X2" s="40">
        <f>(N2/O2)*100</f>
        <v>0.8408408408408409</v>
      </c>
      <c r="Y2" s="40">
        <f>E2/F2</f>
        <v>1.9755351681957187</v>
      </c>
      <c r="Z2" s="40">
        <f>(SUM(E2,F2)/(K2+0.1))/100</f>
        <v>97.3</v>
      </c>
      <c r="AA2" s="40">
        <f>(SUM(E2,F2)/(L2+0.1))/100</f>
        <v>0.6900709219858157</v>
      </c>
      <c r="AB2" s="40">
        <f>(SUM(E2,F2)/(M2+0.1))/100</f>
        <v>97.3</v>
      </c>
      <c r="AC2" s="40">
        <f>(SUM(E2,F2)/(N2+0.1))/100</f>
        <v>1.707017543859649</v>
      </c>
    </row>
    <row r="3">
      <c r="A3" s="34">
        <f>A2+1</f>
        <v>94</v>
      </c>
      <c r="B3" s="34" t="s">
        <v>138</v>
      </c>
      <c r="C3" s="35" t="s">
        <v>167</v>
      </c>
      <c r="D3" s="35" t="s">
        <v>131</v>
      </c>
      <c r="E3" s="12">
        <v>1473</v>
      </c>
      <c r="F3" s="39">
        <v>2447</v>
      </c>
      <c r="G3" s="12">
        <v>4.6</v>
      </c>
      <c r="H3" s="39">
        <v>4.4</v>
      </c>
      <c r="I3" s="12">
        <f>((G3*E3)+(H3*F3))/SUM(E3,F3)</f>
        <v>4.475153061224489</v>
      </c>
      <c r="J3" s="40">
        <v>42</v>
      </c>
      <c r="K3" s="40">
        <v>0</v>
      </c>
      <c r="L3" s="40">
        <v>0</v>
      </c>
      <c r="M3" s="40">
        <v>0</v>
      </c>
      <c r="N3" s="40">
        <f>(K3*0.5)+(L3*0.4)+(M3*0.1)</f>
        <v>0</v>
      </c>
      <c r="O3" s="40">
        <v>407</v>
      </c>
      <c r="P3" s="40">
        <f>ABS(G3-H3)</f>
        <v>0.1999999999999993</v>
      </c>
      <c r="Q3" s="40">
        <f>ABS(G3-I3)</f>
        <v>0.12484693877551045</v>
      </c>
      <c r="R3" s="40">
        <f>ABS(H3-I3)</f>
        <v>0.07515306122448884</v>
      </c>
      <c r="S3" s="37">
        <f>SUM(E3,F3)/O3</f>
        <v>9.631449631449632</v>
      </c>
      <c r="T3" s="37">
        <f>LOG10(E3+F3)*I3</f>
        <v>16.080505142681904</v>
      </c>
      <c r="U3" s="37">
        <f>(K3/O3)*100</f>
        <v>0</v>
      </c>
      <c r="V3" s="37">
        <f>(L3/O3)*100</f>
        <v>0</v>
      </c>
      <c r="W3" s="37">
        <f>(M3/O3)*100</f>
        <v>0</v>
      </c>
      <c r="X3" s="40">
        <f>(N3/O3)*100</f>
        <v>0</v>
      </c>
      <c r="Y3" s="37">
        <f>E3/F3</f>
        <v>0.6019615856150389</v>
      </c>
      <c r="Z3" s="40">
        <f>(SUM(E3,F3)/(K3+0.1))/100</f>
        <v>392</v>
      </c>
      <c r="AA3" s="40">
        <f>(SUM(E3,F3)/(L3+0.1))/100</f>
        <v>392</v>
      </c>
      <c r="AB3" s="40">
        <f>(SUM(E3,F3)/(M3+0.1))/100</f>
        <v>392</v>
      </c>
      <c r="AC3" s="40">
        <f>(SUM(E3,F3)/(N3+0.1))/100</f>
        <v>392</v>
      </c>
    </row>
    <row r="4">
      <c r="A4" s="34">
        <f>A3+1</f>
        <v>95</v>
      </c>
      <c r="B4" s="34" t="s">
        <v>138</v>
      </c>
      <c r="C4" s="35" t="s">
        <v>168</v>
      </c>
      <c r="D4" s="35" t="s">
        <v>131</v>
      </c>
      <c r="E4" s="12">
        <v>2547</v>
      </c>
      <c r="F4" s="39">
        <v>3516</v>
      </c>
      <c r="G4" s="12">
        <v>4.6</v>
      </c>
      <c r="H4" s="39">
        <v>4.3</v>
      </c>
      <c r="I4" s="12">
        <f>((G4*E4)+(H4*F4))/SUM(E4,F4)</f>
        <v>4.426026719445819</v>
      </c>
      <c r="J4" s="40">
        <v>35</v>
      </c>
      <c r="K4" s="40">
        <v>0</v>
      </c>
      <c r="L4" s="40">
        <v>0</v>
      </c>
      <c r="M4" s="40">
        <v>0</v>
      </c>
      <c r="N4" s="40">
        <f>(K4*0.5)+(L4*0.4)+(M4*0.1)</f>
        <v>0</v>
      </c>
      <c r="O4" s="40">
        <v>428</v>
      </c>
      <c r="P4" s="40">
        <f>ABS(G4-H4)</f>
        <v>0.2999999999999998</v>
      </c>
      <c r="Q4" s="40">
        <f>ABS(G4-I4)</f>
        <v>0.17397328055418093</v>
      </c>
      <c r="R4" s="40">
        <f>ABS(H4-I4)</f>
        <v>0.1260267194458189</v>
      </c>
      <c r="S4" s="37">
        <f>SUM(E4,F4)/O4</f>
        <v>14.16588785046729</v>
      </c>
      <c r="T4" s="37">
        <f>LOG10(E4+F4)*I4</f>
        <v>16.74227624832349</v>
      </c>
      <c r="U4" s="37">
        <f>(K4/O4)*100</f>
        <v>0</v>
      </c>
      <c r="V4" s="37">
        <f>(L4/O4)*100</f>
        <v>0</v>
      </c>
      <c r="W4" s="37">
        <f>(M4/O4)*100</f>
        <v>0</v>
      </c>
      <c r="X4" s="40">
        <f>(N4/O4)*100</f>
        <v>0</v>
      </c>
      <c r="Y4" s="37">
        <f>E4/F4</f>
        <v>0.7244027303754266</v>
      </c>
      <c r="Z4" s="40">
        <f>(SUM(E4,F4)/(K4+0.1))/100</f>
        <v>606.3</v>
      </c>
      <c r="AA4" s="40">
        <f>(SUM(E4,F4)/(L4+0.1))/100</f>
        <v>606.3</v>
      </c>
      <c r="AB4" s="40">
        <f>(SUM(E4,F4)/(M4+0.1))/100</f>
        <v>606.3</v>
      </c>
      <c r="AC4" s="40">
        <f>(SUM(E4,F4)/(N4+0.1))/100</f>
        <v>606.3</v>
      </c>
    </row>
    <row r="5">
      <c r="A5" s="34">
        <f>A4+1</f>
        <v>96</v>
      </c>
      <c r="B5" s="34" t="s">
        <v>138</v>
      </c>
      <c r="C5" s="35" t="s">
        <v>169</v>
      </c>
      <c r="D5" s="35" t="s">
        <v>131</v>
      </c>
      <c r="E5" s="12">
        <v>2309</v>
      </c>
      <c r="F5" s="39">
        <v>504</v>
      </c>
      <c r="G5" s="12">
        <v>4.4</v>
      </c>
      <c r="H5" s="39">
        <v>4.5</v>
      </c>
      <c r="I5" s="12">
        <f>((G5*E5)+(H5*F5))/SUM(E5,F5)</f>
        <v>4.417916814788482</v>
      </c>
      <c r="J5" s="40">
        <v>47</v>
      </c>
      <c r="K5" s="40">
        <v>0</v>
      </c>
      <c r="L5" s="40">
        <v>0</v>
      </c>
      <c r="M5" s="40">
        <v>0</v>
      </c>
      <c r="N5" s="40">
        <f>(K5*0.5)+(L5*0.4)+(M5*0.1)</f>
        <v>0</v>
      </c>
      <c r="O5" s="40">
        <v>1540</v>
      </c>
      <c r="P5" s="40">
        <f>ABS(G5-H5)</f>
        <v>0.09999999999999964</v>
      </c>
      <c r="Q5" s="40">
        <f>ABS(G5-I5)</f>
        <v>0.017916814788481616</v>
      </c>
      <c r="R5" s="40">
        <f>ABS(H5-I5)</f>
        <v>0.08208318521151803</v>
      </c>
      <c r="S5" s="37">
        <f>SUM(E5,F5)/O5</f>
        <v>1.8266233766233766</v>
      </c>
      <c r="T5" s="37">
        <f>LOG10(E5+F5)*I5</f>
        <v>15.238144956792125</v>
      </c>
      <c r="U5" s="37">
        <f>(K5/O5)*100</f>
        <v>0</v>
      </c>
      <c r="V5" s="37">
        <f>(L5/O5)*100</f>
        <v>0</v>
      </c>
      <c r="W5" s="37">
        <f>(M5/O5)*100</f>
        <v>0</v>
      </c>
      <c r="X5" s="40">
        <f>(N5/O5)*100</f>
        <v>0</v>
      </c>
      <c r="Y5" s="37">
        <f>E5/F5</f>
        <v>4.5813492063492065</v>
      </c>
      <c r="Z5" s="40">
        <f>(SUM(E5,F5)/(K5+0.1))/100</f>
        <v>281.3</v>
      </c>
      <c r="AA5" s="40">
        <f>(SUM(E5,F5)/(L5+0.1))/100</f>
        <v>281.3</v>
      </c>
      <c r="AB5" s="40">
        <f>(SUM(E5,F5)/(M5+0.1))/100</f>
        <v>281.3</v>
      </c>
      <c r="AC5" s="40">
        <f>(SUM(E5,F5)/(N5+0.1))/100</f>
        <v>281.3</v>
      </c>
    </row>
    <row r="6">
      <c r="A6" s="34">
        <f>A5+1</f>
        <v>97</v>
      </c>
      <c r="B6" s="34" t="s">
        <v>138</v>
      </c>
      <c r="C6" s="35" t="s">
        <v>170</v>
      </c>
      <c r="D6" s="35" t="s">
        <v>131</v>
      </c>
      <c r="E6" s="40">
        <v>1480</v>
      </c>
      <c r="F6" s="40">
        <v>35</v>
      </c>
      <c r="G6" s="40">
        <v>4.3</v>
      </c>
      <c r="H6" s="40">
        <v>3.5</v>
      </c>
      <c r="I6" s="40">
        <f>((G6*E6)+(H6*F6))/SUM(E6,F6)</f>
        <v>4.281518151815182</v>
      </c>
      <c r="J6" s="40">
        <v>175</v>
      </c>
      <c r="K6" s="40">
        <v>150</v>
      </c>
      <c r="L6" s="40">
        <v>150</v>
      </c>
      <c r="M6" s="40">
        <v>0</v>
      </c>
      <c r="N6" s="40">
        <f>(K6*0.5)+(L6*0.4)+(M6*0.1)</f>
        <v>135</v>
      </c>
      <c r="O6" s="40">
        <v>3070</v>
      </c>
      <c r="P6" s="40">
        <f>ABS(G6-H6)</f>
        <v>0.7999999999999998</v>
      </c>
      <c r="Q6" s="40">
        <f>ABS(G6-I6)</f>
        <v>0.018481848184817906</v>
      </c>
      <c r="R6" s="40">
        <f>ABS(H6-I6)</f>
        <v>0.7815181518151819</v>
      </c>
      <c r="S6" s="40">
        <f>SUM(E6,F6)/O6</f>
        <v>0.49348534201954397</v>
      </c>
      <c r="T6" s="40">
        <f>LOG10(E6+F6)*I6</f>
        <v>13.616994417759598</v>
      </c>
      <c r="U6" s="37">
        <f>(K6/O6)*100</f>
        <v>4.88599348534202</v>
      </c>
      <c r="V6" s="37">
        <f>(L6/O6)*100</f>
        <v>4.88599348534202</v>
      </c>
      <c r="W6" s="37">
        <f>(M6/O6)*100</f>
        <v>0</v>
      </c>
      <c r="X6" s="40">
        <f>(N6/O6)*100</f>
        <v>4.397394136807818</v>
      </c>
      <c r="Y6" s="40">
        <f>E6/F6</f>
        <v>42.285714285714285</v>
      </c>
      <c r="Z6" s="40">
        <f>(SUM(E6,F6)/(K6+0.1))/100</f>
        <v>0.10093271152564957</v>
      </c>
      <c r="AA6" s="40">
        <f>(SUM(E6,F6)/(L6+0.1))/100</f>
        <v>0.10093271152564957</v>
      </c>
      <c r="AB6" s="40">
        <f>(SUM(E6,F6)/(M6+0.1))/100</f>
        <v>151.5</v>
      </c>
      <c r="AC6" s="40">
        <f>(SUM(E6,F6)/(N6+0.1))/100</f>
        <v>0.11213915618060696</v>
      </c>
    </row>
    <row r="7">
      <c r="A7" s="34">
        <f>A6+1</f>
        <v>98</v>
      </c>
      <c r="B7" s="34" t="s">
        <v>138</v>
      </c>
      <c r="C7" s="35" t="s">
        <v>171</v>
      </c>
      <c r="D7" s="35" t="s">
        <v>131</v>
      </c>
      <c r="E7" s="40">
        <v>2550</v>
      </c>
      <c r="F7" s="40">
        <v>1154</v>
      </c>
      <c r="G7" s="40">
        <v>4.1</v>
      </c>
      <c r="H7" s="40">
        <v>4</v>
      </c>
      <c r="I7" s="40">
        <f>((G7*E7)+(H7*F7))/SUM(E7,F7)</f>
        <v>4.068844492440605</v>
      </c>
      <c r="J7" s="40">
        <v>102</v>
      </c>
      <c r="K7" s="40">
        <v>0</v>
      </c>
      <c r="L7" s="40">
        <v>25</v>
      </c>
      <c r="M7" s="40">
        <v>0</v>
      </c>
      <c r="N7" s="40">
        <f>(K7*0.5)+(L7*0.4)+(M7*0.1)</f>
        <v>10</v>
      </c>
      <c r="O7" s="40">
        <v>4460</v>
      </c>
      <c r="P7" s="40">
        <f>ABS(G7-H7)</f>
        <v>0.09999999999999964</v>
      </c>
      <c r="Q7" s="40">
        <f>ABS(G7-I7)</f>
        <v>0.031155507559394557</v>
      </c>
      <c r="R7" s="40">
        <f>ABS(H7-I7)</f>
        <v>0.06884449244060509</v>
      </c>
      <c r="S7" s="40">
        <f>SUM(E7,F7)/O7</f>
        <v>0.8304932735426009</v>
      </c>
      <c r="T7" s="40">
        <f>LOG10(E7+F7)*I7</f>
        <v>14.520367254208196</v>
      </c>
      <c r="U7" s="37">
        <f>(K7/O7)*100</f>
        <v>0</v>
      </c>
      <c r="V7" s="37">
        <f>(L7/O7)*100</f>
        <v>0.5605381165919282</v>
      </c>
      <c r="W7" s="37">
        <f>(M7/O7)*100</f>
        <v>0</v>
      </c>
      <c r="X7" s="40">
        <f>(N7/O7)*100</f>
        <v>0.2242152466367713</v>
      </c>
      <c r="Y7" s="40">
        <f>E7/F7</f>
        <v>2.2097053726169844</v>
      </c>
      <c r="Z7" s="40">
        <f>(SUM(E7,F7)/(K7+0.1))/100</f>
        <v>370.4</v>
      </c>
      <c r="AA7" s="40">
        <f>(SUM(E7,F7)/(L7+0.1))/100</f>
        <v>1.4756972111553786</v>
      </c>
      <c r="AB7" s="40">
        <f>(SUM(E7,F7)/(M7+0.1))/100</f>
        <v>370.4</v>
      </c>
      <c r="AC7" s="40">
        <f>(SUM(E7,F7)/(N7+0.1))/100</f>
        <v>3.6673267326732675</v>
      </c>
    </row>
    <row r="8">
      <c r="A8" s="34">
        <f>A7+1</f>
        <v>99</v>
      </c>
      <c r="B8" s="34" t="s">
        <v>138</v>
      </c>
      <c r="C8" s="35" t="s">
        <v>172</v>
      </c>
      <c r="D8" s="35" t="s">
        <v>131</v>
      </c>
      <c r="E8" s="40">
        <v>2705</v>
      </c>
      <c r="F8" s="40">
        <v>587</v>
      </c>
      <c r="G8" s="40">
        <v>3.9</v>
      </c>
      <c r="H8" s="40">
        <v>3.5</v>
      </c>
      <c r="I8" s="40">
        <f>((G8*E8)+(H8*F8))/SUM(E8,F8)</f>
        <v>3.828675577156744</v>
      </c>
      <c r="J8" s="40">
        <v>155</v>
      </c>
      <c r="K8" s="40">
        <v>50</v>
      </c>
      <c r="L8" s="40">
        <v>233</v>
      </c>
      <c r="M8" s="40">
        <v>100</v>
      </c>
      <c r="N8" s="40">
        <f>(K8*0.5)+(L8*0.4)+(M8*0.1)</f>
        <v>128.2</v>
      </c>
      <c r="O8" s="40">
        <v>2650</v>
      </c>
      <c r="P8" s="40">
        <f>ABS(G8-H8)</f>
        <v>0.3999999999999999</v>
      </c>
      <c r="Q8" s="40">
        <f>ABS(G8-I8)</f>
        <v>0.07132442284325613</v>
      </c>
      <c r="R8" s="40">
        <f>ABS(H8-I8)</f>
        <v>0.3286755771567438</v>
      </c>
      <c r="S8" s="40">
        <f>SUM(E8,F8)/O8</f>
        <v>1.2422641509433963</v>
      </c>
      <c r="T8" s="40">
        <f>LOG10(E8+F8)*I8</f>
        <v>13.467212531504584</v>
      </c>
      <c r="U8" s="37">
        <f>(K8/O8)*100</f>
        <v>1.8867924528301887</v>
      </c>
      <c r="V8" s="37">
        <f>(L8/O8)*100</f>
        <v>8.79245283018868</v>
      </c>
      <c r="W8" s="37">
        <f>(M8/O8)*100</f>
        <v>3.7735849056603774</v>
      </c>
      <c r="X8" s="40">
        <f>(N8/O8)*100</f>
        <v>4.837735849056603</v>
      </c>
      <c r="Y8" s="40">
        <f>E8/F8</f>
        <v>4.608177172061329</v>
      </c>
      <c r="Z8" s="40">
        <f>(SUM(E8,F8)/(K8+0.1))/100</f>
        <v>0.6570858283433134</v>
      </c>
      <c r="AA8" s="40">
        <f>(SUM(E8,F8)/(L8+0.1))/100</f>
        <v>0.14122694122694124</v>
      </c>
      <c r="AB8" s="40">
        <f>(SUM(E8,F8)/(M8+0.1))/100</f>
        <v>0.3288711288711289</v>
      </c>
      <c r="AC8" s="40">
        <f>(SUM(E8,F8)/(N8+0.1))/100</f>
        <v>0.2565861262665628</v>
      </c>
    </row>
    <row r="9">
      <c r="A9" s="34">
        <f>A8+1</f>
        <v>100</v>
      </c>
      <c r="B9" s="34" t="s">
        <v>138</v>
      </c>
      <c r="C9" s="35" t="s">
        <v>173</v>
      </c>
      <c r="D9" s="35" t="s">
        <v>131</v>
      </c>
      <c r="E9" s="40">
        <v>3010</v>
      </c>
      <c r="F9" s="40">
        <v>931</v>
      </c>
      <c r="G9" s="40">
        <v>3.9</v>
      </c>
      <c r="H9" s="40">
        <v>3.7</v>
      </c>
      <c r="I9" s="40">
        <f>((G9*E9)+(H9*F9))/SUM(E9,F9)</f>
        <v>3.8527531083481352</v>
      </c>
      <c r="J9" s="40">
        <v>135</v>
      </c>
      <c r="K9" s="40">
        <v>0</v>
      </c>
      <c r="L9" s="40">
        <v>0</v>
      </c>
      <c r="M9" s="40">
        <v>0</v>
      </c>
      <c r="N9" s="40">
        <f>(K9*0.5)+(L9*0.4)+(M9*0.1)</f>
        <v>0</v>
      </c>
      <c r="O9" s="40">
        <v>4550</v>
      </c>
      <c r="P9" s="40">
        <f>ABS(G9-H9)</f>
        <v>0.19999999999999973</v>
      </c>
      <c r="Q9" s="40">
        <f>ABS(G9-I9)</f>
        <v>0.047246891651864686</v>
      </c>
      <c r="R9" s="40">
        <f>ABS(H9-I9)</f>
        <v>0.15275310834813505</v>
      </c>
      <c r="S9" s="40">
        <f>SUM(E9,F9)/O9</f>
        <v>0.8661538461538462</v>
      </c>
      <c r="T9" s="40">
        <f>LOG10(E9+F9)*I9</f>
        <v>13.85298386832501</v>
      </c>
      <c r="U9" s="37">
        <f>(K9/O9)*100</f>
        <v>0</v>
      </c>
      <c r="V9" s="37">
        <f>(L9/O9)*100</f>
        <v>0</v>
      </c>
      <c r="W9" s="37">
        <f>(M9/O9)*100</f>
        <v>0</v>
      </c>
      <c r="X9" s="40">
        <f>(N9/O9)*100</f>
        <v>0</v>
      </c>
      <c r="Y9" s="40">
        <f>E9/F9</f>
        <v>3.2330827067669174</v>
      </c>
      <c r="Z9" s="40">
        <f>(SUM(E9,F9)/(K9+0.1))/100</f>
        <v>394.1</v>
      </c>
      <c r="AA9" s="40">
        <f>(SUM(E9,F9)/(L9+0.1))/100</f>
        <v>394.1</v>
      </c>
      <c r="AB9" s="40">
        <f>(SUM(E9,F9)/(M9+0.1))/100</f>
        <v>394.1</v>
      </c>
      <c r="AC9" s="40">
        <f>(SUM(E9,F9)/(N9+0.1))/100</f>
        <v>394.1</v>
      </c>
    </row>
    <row r="10">
      <c r="A10" s="34">
        <f>A9+1</f>
        <v>101</v>
      </c>
      <c r="B10" s="34" t="s">
        <v>138</v>
      </c>
      <c r="C10" s="35" t="s">
        <v>174</v>
      </c>
      <c r="D10" s="35" t="s">
        <v>131</v>
      </c>
      <c r="E10" s="40">
        <v>1683</v>
      </c>
      <c r="F10" s="40">
        <v>483</v>
      </c>
      <c r="G10" s="40">
        <v>4.1</v>
      </c>
      <c r="H10" s="40">
        <v>3.5</v>
      </c>
      <c r="I10" s="40">
        <f>((G10*E10)+(H10*F10))/SUM(E10,F10)</f>
        <v>3.966204986149584</v>
      </c>
      <c r="J10" s="40">
        <v>146</v>
      </c>
      <c r="K10" s="40">
        <v>0</v>
      </c>
      <c r="L10" s="40">
        <v>0</v>
      </c>
      <c r="M10" s="40">
        <v>0</v>
      </c>
      <c r="N10" s="40">
        <f>(K10*0.5)+(L10*0.4)+(M10*0.1)</f>
        <v>0</v>
      </c>
      <c r="O10" s="40">
        <v>4800</v>
      </c>
      <c r="P10" s="40">
        <f>ABS(G10-H10)</f>
        <v>0.5999999999999996</v>
      </c>
      <c r="Q10" s="40">
        <f>ABS(G10-I10)</f>
        <v>0.1337950138504156</v>
      </c>
      <c r="R10" s="40">
        <f>ABS(H10-I10)</f>
        <v>0.46620498614958406</v>
      </c>
      <c r="S10" s="40">
        <f>SUM(E10,F10)/O10</f>
        <v>0.45125</v>
      </c>
      <c r="T10" s="40">
        <f>LOG10(E10+F10)*I10</f>
        <v>13.229905185561833</v>
      </c>
      <c r="U10" s="37">
        <f>(K10/O10)*100</f>
        <v>0</v>
      </c>
      <c r="V10" s="37">
        <f>(L10/O10)*100</f>
        <v>0</v>
      </c>
      <c r="W10" s="37">
        <f>(M10/O10)*100</f>
        <v>0</v>
      </c>
      <c r="X10" s="40">
        <f>(N10/O10)*100</f>
        <v>0</v>
      </c>
      <c r="Y10" s="40">
        <f>E10/F10</f>
        <v>3.484472049689441</v>
      </c>
      <c r="Z10" s="40">
        <f>(SUM(E10,F10)/(K10+0.1))/100</f>
        <v>216.6</v>
      </c>
      <c r="AA10" s="40">
        <f>(SUM(E10,F10)/(L10+0.1))/100</f>
        <v>216.6</v>
      </c>
      <c r="AB10" s="40">
        <f>(SUM(E10,F10)/(M10+0.1))/100</f>
        <v>216.6</v>
      </c>
      <c r="AC10" s="40">
        <f>(SUM(E10,F10)/(N10+0.1))/100</f>
        <v>216.6</v>
      </c>
    </row>
    <row r="11">
      <c r="A11" s="34">
        <f>A10+1</f>
        <v>102</v>
      </c>
      <c r="B11" s="34" t="s">
        <v>138</v>
      </c>
      <c r="C11" s="35" t="s">
        <v>175</v>
      </c>
      <c r="D11" s="35" t="s">
        <v>131</v>
      </c>
      <c r="E11" s="40">
        <v>11263</v>
      </c>
      <c r="F11" s="40">
        <v>5772</v>
      </c>
      <c r="G11" s="40">
        <v>4.3</v>
      </c>
      <c r="H11" s="40">
        <v>3.9</v>
      </c>
      <c r="I11" s="40">
        <f>((G11*E11)+(H11*F11))/SUM(E11,F11)</f>
        <v>4.164467273260933</v>
      </c>
      <c r="J11" s="40">
        <v>115</v>
      </c>
      <c r="K11" s="40">
        <v>200</v>
      </c>
      <c r="L11" s="40">
        <v>125</v>
      </c>
      <c r="M11" s="40">
        <v>100</v>
      </c>
      <c r="N11" s="40">
        <f>(K11*0.5)+(L11*0.4)+(M11*0.1)</f>
        <v>160</v>
      </c>
      <c r="O11" s="40">
        <v>3730</v>
      </c>
      <c r="P11" s="40">
        <f>ABS(G11-H11)</f>
        <v>0.3999999999999999</v>
      </c>
      <c r="Q11" s="40">
        <f>ABS(G11-I11)</f>
        <v>0.1355327267390667</v>
      </c>
      <c r="R11" s="40">
        <f>ABS(H11-I11)</f>
        <v>0.2644672732609332</v>
      </c>
      <c r="S11" s="40">
        <f>SUM(E11,F11)/O11</f>
        <v>4.567024128686327</v>
      </c>
      <c r="T11" s="40">
        <f>LOG10(E11+F11)*I11</f>
        <v>17.621285855270724</v>
      </c>
      <c r="U11" s="37">
        <f>(K11/O11)*100</f>
        <v>5.361930294906166</v>
      </c>
      <c r="V11" s="37">
        <f>(L11/O11)*100</f>
        <v>3.351206434316354</v>
      </c>
      <c r="W11" s="37">
        <f>(M11/O11)*100</f>
        <v>2.680965147453083</v>
      </c>
      <c r="X11" s="40">
        <f>(N11/O11)*100</f>
        <v>4.289544235924933</v>
      </c>
      <c r="Y11" s="40">
        <f>E11/F11</f>
        <v>1.9513167013167012</v>
      </c>
      <c r="Z11" s="40">
        <f>(SUM(E11,F11)/(K11+0.1))/100</f>
        <v>0.8513243378310845</v>
      </c>
      <c r="AA11" s="40">
        <f>(SUM(E11,F11)/(L11+0.1))/100</f>
        <v>1.3617106314948044</v>
      </c>
      <c r="AB11" s="40">
        <f>(SUM(E11,F11)/(M11+0.1))/100</f>
        <v>1.7017982017982018</v>
      </c>
      <c r="AC11" s="40">
        <f>(SUM(E11,F11)/(N11+0.1))/100</f>
        <v>1.0640224859462837</v>
      </c>
    </row>
    <row r="12" ht="30.75">
      <c r="A12" s="34">
        <f>A11+1</f>
        <v>103</v>
      </c>
      <c r="B12" s="34" t="s">
        <v>138</v>
      </c>
      <c r="C12" s="35" t="s">
        <v>176</v>
      </c>
      <c r="D12" s="35" t="s">
        <v>131</v>
      </c>
      <c r="E12" s="40">
        <v>2169</v>
      </c>
      <c r="F12" s="40">
        <v>150</v>
      </c>
      <c r="G12" s="40">
        <v>4</v>
      </c>
      <c r="H12" s="40">
        <v>4</v>
      </c>
      <c r="I12" s="40">
        <f>((G12*E12)+(H12*F12))/SUM(E12,F12)</f>
        <v>4</v>
      </c>
      <c r="J12" s="40">
        <v>136</v>
      </c>
      <c r="K12" s="40">
        <v>150</v>
      </c>
      <c r="L12" s="40">
        <v>0</v>
      </c>
      <c r="M12" s="40">
        <v>100</v>
      </c>
      <c r="N12" s="40">
        <f>(K12*0.5)+(L12*0.4)+(M12*0.1)</f>
        <v>85</v>
      </c>
      <c r="O12" s="40">
        <v>2120</v>
      </c>
      <c r="P12" s="40">
        <f>ABS(G12-H12)</f>
        <v>0</v>
      </c>
      <c r="Q12" s="40">
        <f>ABS(G12-I12)</f>
        <v>0</v>
      </c>
      <c r="R12" s="40">
        <f>ABS(H12-I12)</f>
        <v>0</v>
      </c>
      <c r="S12" s="40">
        <f>SUM(E12,F12)/O12</f>
        <v>1.0938679245283018</v>
      </c>
      <c r="T12" s="40">
        <f>LOG10(E12+F12)*I12</f>
        <v>13.46120299455195</v>
      </c>
      <c r="U12" s="37">
        <f>(K12/O12)*100</f>
        <v>7.0754716981132075</v>
      </c>
      <c r="V12" s="37">
        <f>(L12/O12)*100</f>
        <v>0</v>
      </c>
      <c r="W12" s="37">
        <f>(M12/O12)*100</f>
        <v>4.716981132075472</v>
      </c>
      <c r="X12" s="40">
        <f>(N12/O12)*100</f>
        <v>4.009433962264151</v>
      </c>
      <c r="Y12" s="40">
        <f>E12/F12</f>
        <v>14.46</v>
      </c>
      <c r="Z12" s="40">
        <f>(SUM(E12,F12)/(K12+0.1))/100</f>
        <v>0.15449700199866756</v>
      </c>
      <c r="AA12" s="40">
        <f>(SUM(E12,F12)/(L12+0.1))/100</f>
        <v>231.9</v>
      </c>
      <c r="AB12" s="40">
        <f>(SUM(E12,F12)/(M12+0.1))/100</f>
        <v>0.23166833166833167</v>
      </c>
      <c r="AC12" s="40">
        <f>(SUM(E12,F12)/(N12+0.1))/100</f>
        <v>0.272502937720329</v>
      </c>
    </row>
    <row r="13">
      <c r="A13" s="34">
        <f>A12+1</f>
        <v>104</v>
      </c>
      <c r="B13" s="34" t="s">
        <v>138</v>
      </c>
      <c r="C13" s="35" t="s">
        <v>177</v>
      </c>
      <c r="D13" s="35" t="s">
        <v>131</v>
      </c>
      <c r="E13" s="40">
        <v>1590</v>
      </c>
      <c r="F13" s="40">
        <v>421</v>
      </c>
      <c r="G13" s="40">
        <v>4.3</v>
      </c>
      <c r="H13" s="40">
        <v>4</v>
      </c>
      <c r="I13" s="40">
        <f>((G13*E13)+(H13*F13))/SUM(E13,F13)</f>
        <v>4.2371954251616115</v>
      </c>
      <c r="J13" s="40">
        <v>107</v>
      </c>
      <c r="K13" s="40">
        <v>50</v>
      </c>
      <c r="L13" s="40">
        <v>25</v>
      </c>
      <c r="M13" s="40">
        <v>0</v>
      </c>
      <c r="N13" s="40">
        <f>(K13*0.5)+(L13*0.4)+(M13*0.1)</f>
        <v>35</v>
      </c>
      <c r="O13" s="40">
        <v>6980</v>
      </c>
      <c r="P13" s="40">
        <f>ABS(G13-H13)</f>
        <v>0.2999999999999998</v>
      </c>
      <c r="Q13" s="40">
        <f>ABS(G13-I13)</f>
        <v>0.0628045748383883</v>
      </c>
      <c r="R13" s="40">
        <f>ABS(H13-I13)</f>
        <v>0.23719542516161152</v>
      </c>
      <c r="S13" s="40">
        <f>SUM(E13,F13)/O13</f>
        <v>0.28810888252149</v>
      </c>
      <c r="T13" s="40">
        <f>LOG10(E13+F13)*I13</f>
        <v>13.997202512956163</v>
      </c>
      <c r="U13" s="37">
        <f>(K13/O13)*100</f>
        <v>0.7163323782234957</v>
      </c>
      <c r="V13" s="37">
        <f>(L13/O13)*100</f>
        <v>0.35816618911174786</v>
      </c>
      <c r="W13" s="37">
        <f>(M13/O13)*100</f>
        <v>0</v>
      </c>
      <c r="X13" s="40">
        <f>(N13/O13)*100</f>
        <v>0.501432664756447</v>
      </c>
      <c r="Y13" s="40">
        <f>E13/F13</f>
        <v>3.776722090261283</v>
      </c>
      <c r="Z13" s="40">
        <f>(SUM(E13,F13)/(K13+0.1))/100</f>
        <v>0.4013972055888223</v>
      </c>
      <c r="AA13" s="40">
        <f>(SUM(E13,F13)/(L13+0.1))/100</f>
        <v>0.8011952191235059</v>
      </c>
      <c r="AB13" s="40">
        <f>(SUM(E13,F13)/(M13+0.1))/100</f>
        <v>201.1</v>
      </c>
      <c r="AC13" s="40">
        <f>(SUM(E13,F13)/(N13+0.1))/100</f>
        <v>0.572934472934473</v>
      </c>
    </row>
    <row r="14">
      <c r="A14" s="34">
        <f>A13+1</f>
        <v>105</v>
      </c>
      <c r="B14" s="34" t="s">
        <v>138</v>
      </c>
      <c r="C14" s="35" t="s">
        <v>178</v>
      </c>
      <c r="D14" s="35" t="s">
        <v>131</v>
      </c>
      <c r="E14" s="40">
        <v>5588</v>
      </c>
      <c r="F14" s="40">
        <v>3529</v>
      </c>
      <c r="G14" s="40">
        <v>4.5</v>
      </c>
      <c r="H14" s="40">
        <v>4.4</v>
      </c>
      <c r="I14" s="40">
        <f>((G14*E14)+(H14*F14))/SUM(E14,F14)</f>
        <v>4.46129209169683</v>
      </c>
      <c r="J14" s="40">
        <v>31</v>
      </c>
      <c r="K14" s="40">
        <v>0</v>
      </c>
      <c r="L14" s="40">
        <v>91</v>
      </c>
      <c r="M14" s="40">
        <v>0</v>
      </c>
      <c r="N14" s="40">
        <f>(K14*0.5)+(L14*0.4)+(M14*0.1)</f>
        <v>36.4</v>
      </c>
      <c r="O14" s="40">
        <v>1910</v>
      </c>
      <c r="P14" s="40">
        <f>ABS(G14-H14)</f>
        <v>0.09999999999999964</v>
      </c>
      <c r="Q14" s="40">
        <f>ABS(G14-I14)</f>
        <v>0.03870790830317006</v>
      </c>
      <c r="R14" s="40">
        <f>ABS(H14-I14)</f>
        <v>0.06129209169682959</v>
      </c>
      <c r="S14" s="40">
        <f>SUM(E14,F14)/O14</f>
        <v>4.773298429319372</v>
      </c>
      <c r="T14" s="40">
        <f>LOG10(E14+F14)*I14</f>
        <v>17.666056210237713</v>
      </c>
      <c r="U14" s="37">
        <f>(K14/O14)*100</f>
        <v>0</v>
      </c>
      <c r="V14" s="37">
        <f>(L14/O14)*100</f>
        <v>4.7643979057591626</v>
      </c>
      <c r="W14" s="37">
        <f>(M14/O14)*100</f>
        <v>0</v>
      </c>
      <c r="X14" s="40">
        <f>(N14/O14)*100</f>
        <v>1.905759162303665</v>
      </c>
      <c r="Y14" s="40">
        <f>E14/F14</f>
        <v>1.5834514026636441</v>
      </c>
      <c r="Z14" s="40">
        <f>(SUM(E14,F14)/(K14+0.1))/100</f>
        <v>911.7</v>
      </c>
      <c r="AA14" s="40">
        <f>(SUM(E14,F14)/(L14+0.1))/100</f>
        <v>1.0007683863885841</v>
      </c>
      <c r="AB14" s="40">
        <f>(SUM(E14,F14)/(M14+0.1))/100</f>
        <v>911.7</v>
      </c>
      <c r="AC14" s="40">
        <f>(SUM(E14,F14)/(N14+0.1))/100</f>
        <v>2.4978082191780824</v>
      </c>
    </row>
    <row r="15">
      <c r="A15" s="34">
        <f>A14+1</f>
        <v>106</v>
      </c>
      <c r="B15" s="34" t="s">
        <v>138</v>
      </c>
      <c r="C15" s="35" t="s">
        <v>179</v>
      </c>
      <c r="D15" s="35" t="s">
        <v>131</v>
      </c>
      <c r="E15" s="40">
        <v>5811</v>
      </c>
      <c r="F15" s="40">
        <v>1801</v>
      </c>
      <c r="G15" s="40">
        <v>4.1</v>
      </c>
      <c r="H15" s="40">
        <v>3.5</v>
      </c>
      <c r="I15" s="40">
        <f>((G15*E15)+(H15*F15))/SUM(E15,F15)</f>
        <v>3.9580399369416708</v>
      </c>
      <c r="J15" s="40" t="s">
        <v>61</v>
      </c>
      <c r="K15" s="40">
        <v>0</v>
      </c>
      <c r="L15" s="40">
        <v>25</v>
      </c>
      <c r="M15" s="40">
        <v>0</v>
      </c>
      <c r="N15" s="40">
        <f>(K15*0.5)+(L15*0.4)+(M15*0.1)</f>
        <v>10</v>
      </c>
      <c r="O15" s="40">
        <v>4000</v>
      </c>
      <c r="P15" s="40">
        <f>ABS(G15-H15)</f>
        <v>0.5999999999999996</v>
      </c>
      <c r="Q15" s="40">
        <f>ABS(G15-I15)</f>
        <v>0.14196006305832887</v>
      </c>
      <c r="R15" s="40">
        <f>ABS(H15-I15)</f>
        <v>0.4580399369416708</v>
      </c>
      <c r="S15" s="40">
        <f>SUM(E15,F15)/O15</f>
        <v>1.903</v>
      </c>
      <c r="T15" s="40">
        <f>LOG10(E15+F15)*I15</f>
        <v>15.363127184906459</v>
      </c>
      <c r="U15" s="37">
        <f>(K15/O15)*100</f>
        <v>0</v>
      </c>
      <c r="V15" s="37">
        <f>(L15/O15)*100</f>
        <v>0.625</v>
      </c>
      <c r="W15" s="37">
        <f>(M15/O15)*100</f>
        <v>0</v>
      </c>
      <c r="X15" s="40">
        <f>(N15/O15)*100</f>
        <v>0.25</v>
      </c>
      <c r="Y15" s="40">
        <f>E15/F15</f>
        <v>3.226540810660744</v>
      </c>
      <c r="Z15" s="40">
        <f>(SUM(E15,F15)/(K15+0.1))/100</f>
        <v>761.2</v>
      </c>
      <c r="AA15" s="40">
        <f>(SUM(E15,F15)/(L15+0.1))/100</f>
        <v>3.032669322709163</v>
      </c>
      <c r="AB15" s="40">
        <f>(SUM(E15,F15)/(M15+0.1))/100</f>
        <v>761.2</v>
      </c>
      <c r="AC15" s="40">
        <f>(SUM(E15,F15)/(N15+0.1))/100</f>
        <v>7.536633663366336</v>
      </c>
    </row>
    <row r="16">
      <c r="A16" s="34">
        <f>A15+1</f>
        <v>107</v>
      </c>
      <c r="B16" s="34" t="s">
        <v>138</v>
      </c>
      <c r="C16" s="35" t="s">
        <v>180</v>
      </c>
      <c r="D16" s="35" t="s">
        <v>131</v>
      </c>
      <c r="E16" s="40">
        <v>2763</v>
      </c>
      <c r="F16" s="40">
        <v>631</v>
      </c>
      <c r="G16" s="40">
        <v>4.1</v>
      </c>
      <c r="H16" s="40">
        <v>3.8</v>
      </c>
      <c r="I16" s="40">
        <f>((G16*E16)+(H16*F16))/SUM(E16,F16)</f>
        <v>4.044225103123158</v>
      </c>
      <c r="J16" s="40">
        <v>121</v>
      </c>
      <c r="K16" s="40">
        <v>100</v>
      </c>
      <c r="L16" s="40">
        <v>100</v>
      </c>
      <c r="M16" s="40">
        <v>100</v>
      </c>
      <c r="N16" s="40">
        <f>(K16*0.5)+(L16*0.4)+(M16*0.1)</f>
        <v>100</v>
      </c>
      <c r="O16" s="40">
        <v>5920</v>
      </c>
      <c r="P16" s="40">
        <f>ABS(G16-H16)</f>
        <v>0.2999999999999998</v>
      </c>
      <c r="Q16" s="40">
        <f>ABS(G16-I16)</f>
        <v>0.05577489687684167</v>
      </c>
      <c r="R16" s="40">
        <f>ABS(H16-I16)</f>
        <v>0.24422510312315815</v>
      </c>
      <c r="S16" s="40">
        <f>SUM(E16,F16)/O16</f>
        <v>0.5733108108108108</v>
      </c>
      <c r="T16" s="40">
        <f>LOG10(E16+F16)*I16</f>
        <v>14.278993447059522</v>
      </c>
      <c r="U16" s="37">
        <f>(K16/O16)*100</f>
        <v>1.6891891891891893</v>
      </c>
      <c r="V16" s="37">
        <f>(L16/O16)*100</f>
        <v>1.6891891891891893</v>
      </c>
      <c r="W16" s="37">
        <f>(M16/O16)*100</f>
        <v>1.6891891891891893</v>
      </c>
      <c r="X16" s="40">
        <f>(N16/O16)*100</f>
        <v>1.6891891891891893</v>
      </c>
      <c r="Y16" s="40">
        <f>E16/F16</f>
        <v>4.378763866877971</v>
      </c>
      <c r="Z16" s="40">
        <f>(SUM(E16,F16)/(K16+0.1))/100</f>
        <v>0.3390609390609391</v>
      </c>
      <c r="AA16" s="40">
        <f>(SUM(E16,F16)/(L16+0.1))/100</f>
        <v>0.3390609390609391</v>
      </c>
      <c r="AB16" s="40">
        <f>(SUM(E16,F16)/(M16+0.1))/100</f>
        <v>0.3390609390609391</v>
      </c>
      <c r="AC16" s="40">
        <f>(SUM(E16,F16)/(N16+0.1))/100</f>
        <v>0.3390609390609391</v>
      </c>
    </row>
    <row r="17">
      <c r="A17" s="34">
        <f>A16+1</f>
        <v>108</v>
      </c>
      <c r="B17" s="34" t="s">
        <v>138</v>
      </c>
      <c r="C17" s="35" t="s">
        <v>181</v>
      </c>
      <c r="D17" s="35" t="s">
        <v>131</v>
      </c>
      <c r="E17" s="40">
        <v>8352</v>
      </c>
      <c r="F17" s="40">
        <v>3195</v>
      </c>
      <c r="G17" s="40">
        <v>3.9</v>
      </c>
      <c r="H17" s="40">
        <v>3.5</v>
      </c>
      <c r="I17" s="40">
        <f>((G17*E17)+(H17*F17))/SUM(E17,F17)</f>
        <v>3.7893219017926736</v>
      </c>
      <c r="J17" s="40">
        <v>178</v>
      </c>
      <c r="K17" s="40">
        <v>150</v>
      </c>
      <c r="L17" s="40">
        <v>170</v>
      </c>
      <c r="M17" s="40">
        <v>200</v>
      </c>
      <c r="N17" s="40">
        <f>(K17*0.5)+(L17*0.4)+(M17*0.1)</f>
        <v>163</v>
      </c>
      <c r="O17" s="40">
        <v>1970</v>
      </c>
      <c r="P17" s="40">
        <f>ABS(G17-H17)</f>
        <v>0.3999999999999999</v>
      </c>
      <c r="Q17" s="40">
        <f>ABS(G17-I17)</f>
        <v>0.11067809820732633</v>
      </c>
      <c r="R17" s="40">
        <f>ABS(H17-I17)</f>
        <v>0.2893219017926736</v>
      </c>
      <c r="S17" s="40">
        <f>SUM(E17,F17)/O17</f>
        <v>5.861421319796954</v>
      </c>
      <c r="T17" s="40">
        <f>LOG10(E17+F17)*I17</f>
        <v>15.394003385377362</v>
      </c>
      <c r="U17" s="37">
        <f>(K17/O17)*100</f>
        <v>7.614213197969544</v>
      </c>
      <c r="V17" s="37">
        <f>(L17/O17)*100</f>
        <v>8.629441624365482</v>
      </c>
      <c r="W17" s="37">
        <f>(M17/O17)*100</f>
        <v>10.152284263959391</v>
      </c>
      <c r="X17" s="40">
        <f>(N17/O17)*100</f>
        <v>8.274111675126903</v>
      </c>
      <c r="Y17" s="40">
        <f>E17/F17</f>
        <v>2.6140845070422536</v>
      </c>
      <c r="Z17" s="40">
        <f>(SUM(E17,F17)/(K17+0.1))/100</f>
        <v>0.7692871419053964</v>
      </c>
      <c r="AA17" s="40">
        <f>(SUM(E17,F17)/(L17+0.1))/100</f>
        <v>0.6788359788359789</v>
      </c>
      <c r="AB17" s="40">
        <f>(SUM(E17,F17)/(M17+0.1))/100</f>
        <v>0.5770614692653673</v>
      </c>
      <c r="AC17" s="40">
        <f>(SUM(E17,F17)/(N17+0.1))/100</f>
        <v>0.7079705702023298</v>
      </c>
    </row>
    <row r="18">
      <c r="A18" s="34">
        <f>A17+1</f>
        <v>109</v>
      </c>
      <c r="B18" s="34" t="s">
        <v>138</v>
      </c>
      <c r="C18" s="35" t="s">
        <v>182</v>
      </c>
      <c r="D18" s="35" t="s">
        <v>131</v>
      </c>
      <c r="E18" s="40">
        <v>1778</v>
      </c>
      <c r="F18" s="40">
        <v>410</v>
      </c>
      <c r="G18" s="40">
        <v>3.7</v>
      </c>
      <c r="H18" s="40">
        <v>3.3</v>
      </c>
      <c r="I18" s="40">
        <f>((G18*E18)+(H18*F18))/SUM(E18,F18)</f>
        <v>3.6250457038391226</v>
      </c>
      <c r="J18" s="40" t="s">
        <v>61</v>
      </c>
      <c r="K18" s="40">
        <v>0</v>
      </c>
      <c r="L18" s="40">
        <v>0</v>
      </c>
      <c r="M18" s="40">
        <v>0</v>
      </c>
      <c r="N18" s="40">
        <f>(K18*0.5)+(L18*0.4)+(M18*0.1)</f>
        <v>0</v>
      </c>
      <c r="O18" s="40">
        <v>6730</v>
      </c>
      <c r="P18" s="40">
        <f>ABS(G18-H18)</f>
        <v>0.40000000000000036</v>
      </c>
      <c r="Q18" s="40">
        <f>ABS(G18-I18)</f>
        <v>0.07495429616087756</v>
      </c>
      <c r="R18" s="40">
        <f>ABS(H18-I18)</f>
        <v>0.3250457038391228</v>
      </c>
      <c r="S18" s="40">
        <f>SUM(E18,G18)/O18</f>
        <v>0.264739970282318</v>
      </c>
      <c r="T18" s="40">
        <f>LOG10(E18+F18)*I18</f>
        <v>12.107824179507817</v>
      </c>
      <c r="U18" s="37">
        <f>(K18/O18)*100</f>
        <v>0</v>
      </c>
      <c r="V18" s="37">
        <f>(L18/O18)*100</f>
        <v>0</v>
      </c>
      <c r="W18" s="37">
        <f>(M18/O18)*100</f>
        <v>0</v>
      </c>
      <c r="X18" s="40">
        <f>(N18/O18)*100</f>
        <v>0</v>
      </c>
      <c r="Y18" s="40">
        <f>E18/G18</f>
        <v>480.5405405405405</v>
      </c>
      <c r="Z18" s="40">
        <f>(SUM(E18,F18)/(K18+0.1))/100</f>
        <v>218.8</v>
      </c>
      <c r="AA18" s="40">
        <f>(SUM(E18,F18)/(L18+0.1))/100</f>
        <v>218.8</v>
      </c>
      <c r="AB18" s="40">
        <f>(SUM(E18,F18)/(M18+0.1))/100</f>
        <v>218.8</v>
      </c>
      <c r="AC18" s="40">
        <f>(SUM(E18,G18)/(N18+0.1))/100</f>
        <v>178.17</v>
      </c>
    </row>
    <row r="19">
      <c r="A19" s="34">
        <f>A18+1</f>
        <v>110</v>
      </c>
      <c r="B19" s="34" t="s">
        <v>138</v>
      </c>
      <c r="C19" s="35" t="s">
        <v>183</v>
      </c>
      <c r="D19" s="35" t="s">
        <v>131</v>
      </c>
      <c r="E19" s="40">
        <v>7310</v>
      </c>
      <c r="F19" s="40">
        <v>5670</v>
      </c>
      <c r="G19" s="40">
        <v>4.5</v>
      </c>
      <c r="H19" s="40">
        <v>4.3</v>
      </c>
      <c r="I19" s="40">
        <f>((G19*E19)+(H19*F19))/SUM(E19,F19)</f>
        <v>4.412634822804314</v>
      </c>
      <c r="J19" s="40">
        <v>65</v>
      </c>
      <c r="K19" s="40">
        <v>33</v>
      </c>
      <c r="L19" s="40">
        <v>191</v>
      </c>
      <c r="M19" s="40">
        <v>100</v>
      </c>
      <c r="N19" s="40">
        <f>(K19*0.5)+(L19*0.4)+(M19*0.1)</f>
        <v>102.9</v>
      </c>
      <c r="O19" s="40">
        <v>2680</v>
      </c>
      <c r="P19" s="40">
        <f>ABS(G19-H19)</f>
        <v>0.20000000000000018</v>
      </c>
      <c r="Q19" s="40">
        <f>ABS(G19-I19)</f>
        <v>0.08736517719568582</v>
      </c>
      <c r="R19" s="40">
        <f>ABS(H19-I19)</f>
        <v>0.11263482280431436</v>
      </c>
      <c r="S19" s="40">
        <f>SUM(E19,G19)/O19</f>
        <v>2.7292910447761196</v>
      </c>
      <c r="T19" s="40">
        <f>LOG10(E19+F19)*I19</f>
        <v>18.1503791437279</v>
      </c>
      <c r="U19" s="37">
        <f>(K19/O19)*100</f>
        <v>1.2313432835820897</v>
      </c>
      <c r="V19" s="37">
        <f>(L19/O19)*100</f>
        <v>7.1268656716417915</v>
      </c>
      <c r="W19" s="37">
        <f>(M19/O19)*100</f>
        <v>3.731343283582089</v>
      </c>
      <c r="X19" s="40">
        <f>(N19/O19)*100</f>
        <v>3.8395522388059704</v>
      </c>
      <c r="Y19" s="40">
        <f>E19/G19</f>
        <v>1624.4444444444443</v>
      </c>
      <c r="Z19" s="40">
        <f>(SUM(E19,F19)/(K19+0.1))/100</f>
        <v>3.921450151057402</v>
      </c>
      <c r="AA19" s="40">
        <f>(SUM(E19,F19)/(L19+0.1))/100</f>
        <v>0.6792255363683936</v>
      </c>
      <c r="AB19" s="40">
        <f>(SUM(E19,F19)/(M19+0.1))/100</f>
        <v>1.2967032967032965</v>
      </c>
      <c r="AC19" s="40">
        <f>(SUM(E19,G19)/(N19+0.1))/100</f>
        <v>0.7101456310679611</v>
      </c>
    </row>
    <row r="20">
      <c r="A20" s="34">
        <f>A19+1</f>
        <v>111</v>
      </c>
      <c r="B20" s="34" t="s">
        <v>138</v>
      </c>
      <c r="C20" s="35" t="s">
        <v>184</v>
      </c>
      <c r="D20" s="35" t="s">
        <v>131</v>
      </c>
      <c r="E20" s="40">
        <v>3281</v>
      </c>
      <c r="F20" s="40">
        <v>2947</v>
      </c>
      <c r="G20" s="40">
        <v>4.4</v>
      </c>
      <c r="H20" s="40">
        <v>4.3</v>
      </c>
      <c r="I20" s="40">
        <f>((G20*E20)+(H20*F20))/SUM(E20,F20)</f>
        <v>4.3526814386640975</v>
      </c>
      <c r="J20" s="40"/>
      <c r="K20" s="40">
        <v>0</v>
      </c>
      <c r="L20" s="40">
        <v>25</v>
      </c>
      <c r="M20" s="40">
        <v>0</v>
      </c>
      <c r="N20" s="40">
        <f>(K20*0.5)+(L20*0.4)+(M20*0.1)</f>
        <v>10</v>
      </c>
      <c r="O20" s="40">
        <v>4940</v>
      </c>
      <c r="P20" s="40">
        <f>ABS(G20-H20)</f>
        <v>0.10000000000000053</v>
      </c>
      <c r="Q20" s="40">
        <f>ABS(G20-I20)</f>
        <v>0.04731856133590284</v>
      </c>
      <c r="R20" s="40">
        <f>ABS(H20-I20)</f>
        <v>0.05268143866409769</v>
      </c>
      <c r="S20" s="40">
        <f>SUM(E20,G20)/O20</f>
        <v>0.6650607287449393</v>
      </c>
      <c r="T20" s="40">
        <f>LOG10(E20+F20)*I20</f>
        <v>16.51559073999951</v>
      </c>
      <c r="U20" s="37">
        <f>(K20/O20)*100</f>
        <v>0</v>
      </c>
      <c r="V20" s="37">
        <f>(L20/O20)*100</f>
        <v>0.5060728744939271</v>
      </c>
      <c r="W20" s="37">
        <f>(M20/O20)*100</f>
        <v>0</v>
      </c>
      <c r="X20" s="40">
        <f>(N20/O20)*100</f>
        <v>0.20242914979757085</v>
      </c>
      <c r="Y20" s="40">
        <f>E20/G20</f>
        <v>745.6818181818181</v>
      </c>
      <c r="Z20" s="40">
        <f>(SUM(E20,F20)/(K20+0.1))/100</f>
        <v>622.8</v>
      </c>
      <c r="AA20" s="40">
        <f>(SUM(E20,F20)/(L20+0.1))/100</f>
        <v>2.4812749003984065</v>
      </c>
      <c r="AB20" s="40">
        <f>(SUM(E20,F20)/(M20+0.1))/100</f>
        <v>622.8</v>
      </c>
      <c r="AC20" s="40">
        <f>(SUM(E20,G20)/(N20+0.1))/100</f>
        <v>3.252871287128713</v>
      </c>
    </row>
    <row r="21">
      <c r="A21" s="34">
        <f>A20+1</f>
        <v>112</v>
      </c>
      <c r="B21" s="34" t="s">
        <v>138</v>
      </c>
      <c r="C21" s="35" t="s">
        <v>185</v>
      </c>
      <c r="D21" s="35" t="s">
        <v>131</v>
      </c>
      <c r="E21" s="40">
        <v>314</v>
      </c>
      <c r="F21" s="40">
        <v>4</v>
      </c>
      <c r="G21" s="40">
        <v>4.7</v>
      </c>
      <c r="H21" s="40">
        <v>4.8</v>
      </c>
      <c r="I21" s="40">
        <f>((G21*E21)+(H21*F21))/SUM(E21,F21)</f>
        <v>4.70125786163522</v>
      </c>
      <c r="J21" s="40" t="s">
        <v>61</v>
      </c>
      <c r="K21" s="40">
        <v>0</v>
      </c>
      <c r="L21" s="40">
        <v>0</v>
      </c>
      <c r="M21" s="40">
        <v>0</v>
      </c>
      <c r="N21" s="40">
        <f>(K21*0.5)+(L21*0.4)+(M21*0.1)</f>
        <v>0</v>
      </c>
      <c r="O21" s="40">
        <v>7004</v>
      </c>
      <c r="P21" s="40">
        <f>ABS(G21-H21)</f>
        <v>0.09999999999999964</v>
      </c>
      <c r="Q21" s="40">
        <f>ABS(G21-I21)</f>
        <v>0.0012578616352199035</v>
      </c>
      <c r="R21" s="40">
        <f>ABS(H21-I21)</f>
        <v>0.09874213836477974</v>
      </c>
      <c r="S21" s="40">
        <f>SUM(E21,G21)/O21</f>
        <v>0.045502569960022846</v>
      </c>
      <c r="T21" s="40">
        <f>LOG10(E21+F21)*I21</f>
        <v>11.764555170995996</v>
      </c>
      <c r="U21" s="37">
        <f>(K21/O21)*100</f>
        <v>0</v>
      </c>
      <c r="V21" s="37">
        <f>(L21/O21)*100</f>
        <v>0</v>
      </c>
      <c r="W21" s="37">
        <f>(M21/O21)*100</f>
        <v>0</v>
      </c>
      <c r="X21" s="40">
        <f>(N21/O21)*100</f>
        <v>0</v>
      </c>
      <c r="Y21" s="40">
        <f>E21/G21</f>
        <v>66.80851063829788</v>
      </c>
      <c r="Z21" s="40">
        <f>(SUM(E21,F21)/(K21+0.1))/100</f>
        <v>31.8</v>
      </c>
      <c r="AA21" s="40">
        <f>(SUM(E21,F21)/(L21+0.1))/100</f>
        <v>31.8</v>
      </c>
      <c r="AB21" s="40">
        <f>(SUM(E21,F21)/(M21+0.1))/100</f>
        <v>31.8</v>
      </c>
      <c r="AC21" s="40">
        <f>(SUM(E21,G21)/(N21+0.1))/100</f>
        <v>31.869999999999994</v>
      </c>
    </row>
    <row r="22">
      <c r="Z22" s="44"/>
      <c r="AA22" s="44"/>
      <c r="AB22" s="44"/>
    </row>
    <row r="23">
      <c r="Z23" s="44"/>
      <c r="AA23" s="44"/>
      <c r="AB23" s="44"/>
    </row>
    <row r="24">
      <c r="Z24" s="44"/>
      <c r="AA24" s="44"/>
      <c r="AB24" s="44"/>
    </row>
    <row r="25">
      <c r="Z25" s="44"/>
      <c r="AA25" s="44"/>
      <c r="AB25" s="44"/>
    </row>
    <row r="26">
      <c r="B26" s="11" t="s">
        <v>56</v>
      </c>
      <c r="Z26" s="44"/>
      <c r="AA26" s="44"/>
      <c r="AB26" s="44"/>
    </row>
  </sheetData>
  <pageMargins left="0.699999988079071" right="0.699999988079071" top="0.75" bottom="0.75" header="0.30000001192092896" footer="0.30000001192092896"/>
  <pageSetup paperSize="9" orientation="portrait" r:id="rId1"/>
  <legacyDrawing r:id="rId3"/>
</worksheet>
</file>

<file path=xl/worksheets/sheet11.xml><?xml version="1.0" encoding="utf-8"?>
<worksheet xmlns="http://schemas.openxmlformats.org/spreadsheetml/2006/main" xmlns:r="http://schemas.openxmlformats.org/officeDocument/2006/relationships">
  <dimension ref="A1:AD46"/>
  <sheetViews>
    <sheetView zoomScale="70" zoomScaleNormal="70" workbookViewId="0">
      <selection activeCell="J1" sqref="J1"/>
    </sheetView>
  </sheetViews>
  <sheetFormatPr defaultColWidth="11.421875" defaultRowHeight="15"/>
  <sheetData>
    <row r="1" ht="120">
      <c r="A1" s="26" t="s">
        <v>0</v>
      </c>
      <c r="B1" s="26" t="s">
        <v>1</v>
      </c>
      <c r="C1" s="26" t="s">
        <v>2</v>
      </c>
      <c r="D1" s="26" t="s">
        <v>3</v>
      </c>
      <c r="E1" s="26" t="s">
        <v>4</v>
      </c>
      <c r="F1" s="26" t="s">
        <v>5</v>
      </c>
      <c r="G1" s="26" t="s">
        <v>6</v>
      </c>
      <c r="H1" s="26" t="s">
        <v>7</v>
      </c>
      <c r="I1" s="26" t="s">
        <v>8</v>
      </c>
      <c r="J1" s="27" t="s">
        <v>71</v>
      </c>
      <c r="K1" s="27" t="s">
        <v>9</v>
      </c>
      <c r="L1" s="27" t="s">
        <v>10</v>
      </c>
      <c r="M1" s="27" t="s">
        <v>11</v>
      </c>
      <c r="N1" s="27" t="s">
        <v>12</v>
      </c>
      <c r="O1" s="27" t="s">
        <v>13</v>
      </c>
      <c r="P1" s="27" t="s">
        <v>14</v>
      </c>
      <c r="Q1" s="27" t="s">
        <v>15</v>
      </c>
      <c r="R1" s="26" t="s">
        <v>16</v>
      </c>
      <c r="S1" s="26" t="s">
        <v>17</v>
      </c>
      <c r="T1" s="26" t="s">
        <v>18</v>
      </c>
      <c r="U1" s="26" t="s">
        <v>19</v>
      </c>
      <c r="V1" s="26" t="s">
        <v>20</v>
      </c>
      <c r="W1" s="26" t="s">
        <v>21</v>
      </c>
      <c r="X1" s="26" t="s">
        <v>22</v>
      </c>
      <c r="Y1" s="26" t="s">
        <v>24</v>
      </c>
      <c r="Z1" s="26" t="s">
        <v>23</v>
      </c>
      <c r="AA1" s="26" t="s">
        <v>25</v>
      </c>
      <c r="AB1" s="30" t="s">
        <v>26</v>
      </c>
      <c r="AC1" s="26" t="s">
        <v>27</v>
      </c>
      <c r="AD1" s="30" t="s">
        <v>28</v>
      </c>
    </row>
    <row r="2" ht="30.75">
      <c r="A2" s="35">
        <f>'Restauración 2.2 (Publicidad)'!A8+1</f>
        <v>68</v>
      </c>
      <c r="B2" s="35" t="s">
        <v>138</v>
      </c>
      <c r="C2" s="12" t="s">
        <v>139</v>
      </c>
      <c r="D2" s="39" t="s">
        <v>105</v>
      </c>
      <c r="E2" s="12">
        <v>566</v>
      </c>
      <c r="F2" s="39">
        <v>1394</v>
      </c>
      <c r="G2" s="12">
        <v>4.9</v>
      </c>
      <c r="H2" s="12">
        <v>5</v>
      </c>
      <c r="I2" s="39">
        <f>((G2*E2)+(H2*F2))/SUM(E2,F2)</f>
        <v>4.9711224489795915</v>
      </c>
      <c r="J2" s="39">
        <v>1</v>
      </c>
      <c r="K2" s="39">
        <v>1</v>
      </c>
      <c r="L2" s="39">
        <v>0</v>
      </c>
      <c r="M2" s="12">
        <v>0</v>
      </c>
      <c r="N2" s="12">
        <v>0</v>
      </c>
      <c r="O2" s="40">
        <f>(L2*0.5)+(M2*0.4)+(N2*0.1)</f>
        <v>0</v>
      </c>
      <c r="P2" s="40">
        <v>785</v>
      </c>
      <c r="Q2" s="40">
        <f>ABS(G2-H2)</f>
        <v>0.09999999999999964</v>
      </c>
      <c r="R2" s="37">
        <f>ABS(H2-I2)</f>
        <v>0.028877551020408454</v>
      </c>
      <c r="S2" s="37">
        <f>ABS(H2-I2)</f>
        <v>0.028877551020408454</v>
      </c>
      <c r="T2" s="37">
        <f>SUM(E2,F2)/P2</f>
        <v>2.4968152866242037</v>
      </c>
      <c r="U2" s="37">
        <f>LOG10(E2+F2)*I2</f>
        <v>16.366208064109532</v>
      </c>
      <c r="V2" s="37">
        <f>(L2/P2)*100</f>
        <v>0</v>
      </c>
      <c r="W2" s="37">
        <f>(M2/P2)*100</f>
        <v>0</v>
      </c>
      <c r="X2" s="37">
        <f>(N2/P2)*100</f>
        <v>0</v>
      </c>
      <c r="Y2" s="40">
        <f>(O2/P2)*100</f>
        <v>0</v>
      </c>
      <c r="Z2" s="40">
        <f>E2/F2</f>
        <v>0.406025824964132</v>
      </c>
      <c r="AA2" s="40">
        <f>(SUM(E2,F2)/(L2+0.1))/100</f>
        <v>196</v>
      </c>
      <c r="AB2" s="40">
        <f>(SUM(E2,F2)/(M2+0.1))/100</f>
        <v>196</v>
      </c>
      <c r="AC2" s="40">
        <f>(SUM(E2,F2)/(N2+0.1))/100</f>
        <v>196</v>
      </c>
      <c r="AD2" s="40">
        <f>(SUM(E2,F2)/(O2+0.1))/100</f>
        <v>196</v>
      </c>
    </row>
    <row r="3" ht="42.75">
      <c r="A3" s="35">
        <f>A2+1</f>
        <v>69</v>
      </c>
      <c r="B3" s="35" t="s">
        <v>138</v>
      </c>
      <c r="C3" s="13" t="s">
        <v>140</v>
      </c>
      <c r="D3" s="39" t="s">
        <v>105</v>
      </c>
      <c r="E3" s="13">
        <v>260</v>
      </c>
      <c r="F3" s="39">
        <v>493</v>
      </c>
      <c r="G3" s="12">
        <v>4.8</v>
      </c>
      <c r="H3" s="12">
        <v>5</v>
      </c>
      <c r="I3" s="39">
        <f>((G3*E3)+(H3*F3))/SUM(E3,F3)</f>
        <v>4.930942895086321</v>
      </c>
      <c r="J3" s="39">
        <v>1</v>
      </c>
      <c r="K3" s="39">
        <v>2</v>
      </c>
      <c r="L3" s="39">
        <v>0</v>
      </c>
      <c r="M3" s="12">
        <v>0</v>
      </c>
      <c r="N3" s="13">
        <v>0</v>
      </c>
      <c r="O3" s="40">
        <f>(L3*0.5)+(M3*0.4)+(N3*0.1)</f>
        <v>0</v>
      </c>
      <c r="P3" s="40">
        <v>440</v>
      </c>
      <c r="Q3" s="40">
        <f>ABS(G3-H3)</f>
        <v>0.20000000000000018</v>
      </c>
      <c r="R3" s="37">
        <f>ABS(G3-I3)</f>
        <v>0.13094289508632162</v>
      </c>
      <c r="S3" s="37">
        <f>ABS(H3-I3)</f>
        <v>0.06905710491367856</v>
      </c>
      <c r="T3" s="37">
        <f>SUM(E3,F3)/P3</f>
        <v>1.7113636363636364</v>
      </c>
      <c r="U3" s="37">
        <f>LOG10(E3+F3)*I3</f>
        <v>14.185311748516868</v>
      </c>
      <c r="V3" s="37">
        <f>(L3/P3)*100</f>
        <v>0</v>
      </c>
      <c r="W3" s="37">
        <f>(M3/P3)*100</f>
        <v>0</v>
      </c>
      <c r="X3" s="37">
        <f>(N3/P3)*100</f>
        <v>0</v>
      </c>
      <c r="Y3" s="40">
        <f>(O3/P3)*100</f>
        <v>0</v>
      </c>
      <c r="Z3" s="40">
        <f>E3/F3</f>
        <v>0.5273833671399595</v>
      </c>
      <c r="AA3" s="40">
        <f>(SUM(E3,F3)/(L3+0.1))/100</f>
        <v>75.3</v>
      </c>
      <c r="AB3" s="40">
        <f>(SUM(E3,F3)/(M3+0.1))/100</f>
        <v>75.3</v>
      </c>
      <c r="AC3" s="40">
        <f>(SUM(E3,F3)/(N3+0.1))/100</f>
        <v>75.3</v>
      </c>
      <c r="AD3" s="40">
        <f>(SUM(E3,F3)/(O3+0.1))/100</f>
        <v>75.3</v>
      </c>
    </row>
    <row r="4" ht="44.25">
      <c r="A4" s="35">
        <f>A3+1</f>
        <v>70</v>
      </c>
      <c r="B4" s="35" t="s">
        <v>138</v>
      </c>
      <c r="C4" s="12" t="s">
        <v>141</v>
      </c>
      <c r="D4" s="39" t="s">
        <v>105</v>
      </c>
      <c r="E4" s="12">
        <v>185</v>
      </c>
      <c r="F4" s="39">
        <v>224</v>
      </c>
      <c r="G4" s="12">
        <v>4.5</v>
      </c>
      <c r="H4" s="12">
        <v>4.9</v>
      </c>
      <c r="I4" s="39">
        <f>((G4*E4)+(H4*F4))/SUM(E4,F4)</f>
        <v>4.719070904645477</v>
      </c>
      <c r="J4" s="39">
        <v>1</v>
      </c>
      <c r="K4" s="39">
        <v>3</v>
      </c>
      <c r="L4" s="39">
        <v>0</v>
      </c>
      <c r="M4" s="12">
        <v>0</v>
      </c>
      <c r="N4" s="12">
        <v>20</v>
      </c>
      <c r="O4" s="40">
        <f>(L4*0.5)+(M4*0.4)+(N4*0.1)</f>
        <v>2</v>
      </c>
      <c r="P4" s="40">
        <v>1510</v>
      </c>
      <c r="Q4" s="40">
        <f>ABS(G4-H4)</f>
        <v>0.40000000000000036</v>
      </c>
      <c r="R4" s="37">
        <f>ABS(G4-I4)</f>
        <v>0.21907090464547707</v>
      </c>
      <c r="S4" s="37">
        <f>ABS(H4-I4)</f>
        <v>0.18092909535452328</v>
      </c>
      <c r="T4" s="37">
        <f>SUM(E4,F4)/P4</f>
        <v>0.27086092715231785</v>
      </c>
      <c r="U4" s="37">
        <f>LOG10(E4+F4)*I4</f>
        <v>12.324907473801884</v>
      </c>
      <c r="V4" s="37">
        <f>(L4/P4)*100</f>
        <v>0</v>
      </c>
      <c r="W4" s="37">
        <f>(M4/P4)*100</f>
        <v>0</v>
      </c>
      <c r="X4" s="37">
        <f>(N4/P4)*100</f>
        <v>1.3245033112582782</v>
      </c>
      <c r="Y4" s="40">
        <f>(O4/P4)*100</f>
        <v>0.13245033112582782</v>
      </c>
      <c r="Z4" s="40">
        <f>E4/F4</f>
        <v>0.8258928571428571</v>
      </c>
      <c r="AA4" s="40">
        <f>(SUM(E4,F4)/(L4+0.1))/100</f>
        <v>40.9</v>
      </c>
      <c r="AB4" s="40">
        <f>(SUM(E4,F4)/(M4+0.1))/100</f>
        <v>40.9</v>
      </c>
      <c r="AC4" s="40">
        <f>(SUM(E4,F4)/(N4+0.1))/100</f>
        <v>0.20348258706467662</v>
      </c>
      <c r="AD4" s="40">
        <f>(SUM(E4,F4)/(O4+0.1))/100</f>
        <v>1.9476190476190476</v>
      </c>
    </row>
    <row r="5" ht="30.75">
      <c r="A5" s="35">
        <f>A4+1</f>
        <v>71</v>
      </c>
      <c r="B5" s="35" t="s">
        <v>138</v>
      </c>
      <c r="C5" s="12" t="s">
        <v>142</v>
      </c>
      <c r="D5" s="39" t="s">
        <v>105</v>
      </c>
      <c r="E5" s="12">
        <v>971</v>
      </c>
      <c r="F5" s="39">
        <v>920</v>
      </c>
      <c r="G5" s="12">
        <v>4.8</v>
      </c>
      <c r="H5" s="12">
        <v>4.9</v>
      </c>
      <c r="I5" s="39">
        <f>((G5*E5)+(H5*F5))/SUM(E5,F5)</f>
        <v>4.848651507139079</v>
      </c>
      <c r="J5" s="39">
        <v>1</v>
      </c>
      <c r="K5" s="39">
        <v>4</v>
      </c>
      <c r="L5" s="39">
        <v>0</v>
      </c>
      <c r="M5" s="12">
        <v>0</v>
      </c>
      <c r="N5" s="12">
        <v>0</v>
      </c>
      <c r="O5" s="40">
        <f>(L5*0.5)+(M5*0.4)+(N5*0.1)</f>
        <v>0</v>
      </c>
      <c r="P5" s="40">
        <v>548</v>
      </c>
      <c r="Q5" s="40">
        <f>ABS(G5-H5)</f>
        <v>0.10000000000000053</v>
      </c>
      <c r="R5" s="37">
        <f>ABS(G5-I5)</f>
        <v>0.04865150713907962</v>
      </c>
      <c r="S5" s="37">
        <f>ABS(H5-I5)</f>
        <v>0.051348492860920913</v>
      </c>
      <c r="T5" s="37">
        <f>SUM(E5,F5)/P5</f>
        <v>3.4507299270072993</v>
      </c>
      <c r="U5" s="37">
        <f>LOG10(E5+F5)*I5</f>
        <v>15.887535319764357</v>
      </c>
      <c r="V5" s="37">
        <f>(L5/P5)*100</f>
        <v>0</v>
      </c>
      <c r="W5" s="37">
        <f>(M5/P5)*100</f>
        <v>0</v>
      </c>
      <c r="X5" s="37">
        <f>(N5/P5)*100</f>
        <v>0</v>
      </c>
      <c r="Y5" s="40">
        <f>(O5/P5)*100</f>
        <v>0</v>
      </c>
      <c r="Z5" s="40">
        <f>E5/F5</f>
        <v>1.0554347826086956</v>
      </c>
      <c r="AA5" s="40">
        <f>(SUM(E5,F5)/(L5+0.1))/100</f>
        <v>189.1</v>
      </c>
      <c r="AB5" s="40">
        <f>(SUM(E5,F5)/(M5+0.1))/100</f>
        <v>189.1</v>
      </c>
      <c r="AC5" s="40">
        <f>(SUM(E5,F5)/(N5+0.1))/100</f>
        <v>189.1</v>
      </c>
      <c r="AD5" s="40">
        <f>(SUM(E5,F5)/(O5+0.1))/100</f>
        <v>189.1</v>
      </c>
    </row>
    <row r="6" ht="42.75">
      <c r="A6" s="35">
        <f>A5+1</f>
        <v>72</v>
      </c>
      <c r="B6" s="35" t="s">
        <v>138</v>
      </c>
      <c r="C6" s="12" t="s">
        <v>143</v>
      </c>
      <c r="D6" s="39" t="s">
        <v>105</v>
      </c>
      <c r="E6" s="12">
        <v>206</v>
      </c>
      <c r="F6" s="39">
        <v>216</v>
      </c>
      <c r="G6" s="12">
        <v>4.7</v>
      </c>
      <c r="H6" s="12">
        <v>4.9</v>
      </c>
      <c r="I6" s="39">
        <f>((G6*E6)+(H6*F6))/SUM(E6,F6)</f>
        <v>4.802369668246445</v>
      </c>
      <c r="J6" s="39">
        <v>1</v>
      </c>
      <c r="K6" s="39">
        <v>5</v>
      </c>
      <c r="L6" s="39">
        <v>0</v>
      </c>
      <c r="M6" s="12">
        <v>20</v>
      </c>
      <c r="N6" s="12">
        <v>0</v>
      </c>
      <c r="O6" s="40">
        <f>(L6*0.5)+(M6*0.4)+(N6*0.1)</f>
        <v>8</v>
      </c>
      <c r="P6" s="40">
        <v>255</v>
      </c>
      <c r="Q6" s="40">
        <f>ABS(G6-H6)</f>
        <v>0.20000000000000018</v>
      </c>
      <c r="R6" s="37">
        <f>ABS(G6-I6)</f>
        <v>0.10236966824644522</v>
      </c>
      <c r="S6" s="37">
        <f>ABS(H6-I6)</f>
        <v>0.09763033175355496</v>
      </c>
      <c r="T6" s="37">
        <f>SUM(E6,F6)/P6</f>
        <v>1.6549019607843136</v>
      </c>
      <c r="U6" s="37">
        <f>LOG10(E6+F6)*I6</f>
        <v>12.607720884168076</v>
      </c>
      <c r="V6" s="37">
        <f>(L6/P6)*100</f>
        <v>0</v>
      </c>
      <c r="W6" s="37">
        <f>(M6/P6)*100</f>
        <v>7.8431372549019605</v>
      </c>
      <c r="X6" s="37">
        <f>(N6/P6)*100</f>
        <v>0</v>
      </c>
      <c r="Y6" s="40">
        <f>(O6/P6)*100</f>
        <v>3.1372549019607843</v>
      </c>
      <c r="Z6" s="40">
        <f>E6/F6</f>
        <v>0.9537037037037037</v>
      </c>
      <c r="AA6" s="40">
        <f>(SUM(E6,F6)/(L6+0.1))/100</f>
        <v>42.2</v>
      </c>
      <c r="AB6" s="40">
        <f>(SUM(E6,F6)/(M6+0.1))/100</f>
        <v>0.2099502487562189</v>
      </c>
      <c r="AC6" s="40">
        <f>(SUM(E6,F6)/(N6+0.1))/100</f>
        <v>42.2</v>
      </c>
      <c r="AD6" s="40">
        <f>(SUM(E6,F6)/(O6+0.1))/100</f>
        <v>0.5209876543209877</v>
      </c>
    </row>
    <row r="7" ht="57.75">
      <c r="A7" s="35">
        <f>A6+1</f>
        <v>73</v>
      </c>
      <c r="B7" s="35" t="s">
        <v>138</v>
      </c>
      <c r="C7" s="12" t="s">
        <v>144</v>
      </c>
      <c r="D7" s="39" t="s">
        <v>105</v>
      </c>
      <c r="E7" s="12">
        <v>321</v>
      </c>
      <c r="F7" s="39">
        <v>493</v>
      </c>
      <c r="G7" s="12">
        <v>4.6</v>
      </c>
      <c r="H7" s="12">
        <v>4.8</v>
      </c>
      <c r="I7" s="12">
        <f>((G7*E7)+(H7*F7))/SUM(E7,F7)</f>
        <v>4.721130221130221</v>
      </c>
      <c r="J7" s="12">
        <v>1</v>
      </c>
      <c r="K7" s="12">
        <v>6</v>
      </c>
      <c r="L7" s="12">
        <v>0</v>
      </c>
      <c r="M7" s="12">
        <v>0</v>
      </c>
      <c r="N7" s="12">
        <v>25</v>
      </c>
      <c r="O7" s="37">
        <f>(L7*0.5)+(M7*0.4)+(N7*0.1)</f>
        <v>2.5</v>
      </c>
      <c r="P7" s="37">
        <v>922</v>
      </c>
      <c r="Q7" s="37">
        <f>ABS(G7-H7)</f>
        <v>0.20000000000000018</v>
      </c>
      <c r="R7" s="37">
        <f>ABS(G7-I7)</f>
        <v>0.12113022113022165</v>
      </c>
      <c r="S7" s="37">
        <f>ABS(H7-I7)</f>
        <v>0.07886977886977853</v>
      </c>
      <c r="T7" s="37">
        <f>SUM(E7,F7)/P7</f>
        <v>0.8828633405639913</v>
      </c>
      <c r="U7" s="37">
        <f>LOG10(E7+F7)*I7</f>
        <v>13.741436840281573</v>
      </c>
      <c r="V7" s="37">
        <f>(L7/P7)*100</f>
        <v>0</v>
      </c>
      <c r="W7" s="37">
        <f>(M7/P7)*100</f>
        <v>0</v>
      </c>
      <c r="X7" s="37">
        <f>(N7/P7)*100</f>
        <v>2.711496746203905</v>
      </c>
      <c r="Y7" s="40">
        <f>(O7/P7)*100</f>
        <v>0.27114967462039047</v>
      </c>
      <c r="Z7" s="40">
        <f>E7/F7</f>
        <v>0.6511156186612576</v>
      </c>
      <c r="AA7" s="40">
        <f>(SUM(E7,F7)/(L7+0.1))/100</f>
        <v>81.4</v>
      </c>
      <c r="AB7" s="40">
        <f>(SUM(E7,F7)/(M7+0.1))/100</f>
        <v>81.4</v>
      </c>
      <c r="AC7" s="40">
        <f>(SUM(E7,F7)/(N7+0.1))/100</f>
        <v>0.3243027888446215</v>
      </c>
      <c r="AD7" s="37">
        <f>(SUM(E7,F7)/(O7+0.1))/100</f>
        <v>3.1307692307692307</v>
      </c>
    </row>
    <row r="8" ht="30.75">
      <c r="A8" s="35">
        <f>A7+1</f>
        <v>74</v>
      </c>
      <c r="B8" s="35" t="s">
        <v>138</v>
      </c>
      <c r="C8" s="12" t="s">
        <v>145</v>
      </c>
      <c r="D8" s="39" t="s">
        <v>105</v>
      </c>
      <c r="E8" s="12">
        <v>1161</v>
      </c>
      <c r="F8" s="39">
        <v>694</v>
      </c>
      <c r="G8" s="12">
        <v>4.7</v>
      </c>
      <c r="H8" s="12">
        <v>4.9</v>
      </c>
      <c r="I8" s="39">
        <f>((G8*E8)+(H8*F8))/SUM(E8,F8)</f>
        <v>4.7748247978436655</v>
      </c>
      <c r="J8" s="39">
        <v>1</v>
      </c>
      <c r="K8" s="39">
        <v>7</v>
      </c>
      <c r="L8" s="39">
        <v>0</v>
      </c>
      <c r="M8" s="12">
        <v>0</v>
      </c>
      <c r="N8" s="12">
        <v>0</v>
      </c>
      <c r="O8" s="40">
        <f>(L8*0.5)+(M8*0.4)+(N8*0.1)</f>
        <v>0</v>
      </c>
      <c r="P8" s="40">
        <v>730</v>
      </c>
      <c r="Q8" s="40">
        <f>ABS(G8-H8)</f>
        <v>0.20000000000000018</v>
      </c>
      <c r="R8" s="37">
        <f>ABS(G8-I8)</f>
        <v>0.07482479784366536</v>
      </c>
      <c r="S8" s="37">
        <f>ABS(H8-I8)</f>
        <v>0.12517520215633482</v>
      </c>
      <c r="T8" s="37">
        <f>SUM(E8,F8)/P8</f>
        <v>2.541095890410959</v>
      </c>
      <c r="U8" s="37">
        <f>LOG10(E8+F8)*I8</f>
        <v>15.605769568214967</v>
      </c>
      <c r="V8" s="37">
        <f>(L8/P8)*100</f>
        <v>0</v>
      </c>
      <c r="W8" s="37">
        <f>(M8/P8)*100</f>
        <v>0</v>
      </c>
      <c r="X8" s="37">
        <f>(N8/P8)*100</f>
        <v>0</v>
      </c>
      <c r="Y8" s="40">
        <f>(O8/P8)*100</f>
        <v>0</v>
      </c>
      <c r="Z8" s="40">
        <f>E8/F8</f>
        <v>1.6729106628242074</v>
      </c>
      <c r="AA8" s="40">
        <f>(SUM(E8,F8)/(L8+0.1))/100</f>
        <v>185.5</v>
      </c>
      <c r="AB8" s="40">
        <f>(SUM(E8,F8)/(M8+0.1))/100</f>
        <v>185.5</v>
      </c>
      <c r="AC8" s="40">
        <f>(SUM(E8,F8)/(N8+0.1))/100</f>
        <v>185.5</v>
      </c>
      <c r="AD8" s="40">
        <f>(SUM(E8,F8)/(O8+0.1))/100</f>
        <v>185.5</v>
      </c>
    </row>
    <row r="9" ht="30.75">
      <c r="A9" s="35">
        <f>A8+1</f>
        <v>75</v>
      </c>
      <c r="B9" s="35" t="s">
        <v>138</v>
      </c>
      <c r="C9" s="12" t="s">
        <v>146</v>
      </c>
      <c r="D9" s="39" t="s">
        <v>105</v>
      </c>
      <c r="E9" s="12">
        <v>148</v>
      </c>
      <c r="F9" s="39">
        <v>1087</v>
      </c>
      <c r="G9" s="12">
        <v>4.6</v>
      </c>
      <c r="H9" s="12">
        <v>4.8</v>
      </c>
      <c r="I9" s="39">
        <f>((G9*E9)+(H9*F9))/SUM(E9,F9)</f>
        <v>4.7760323886639675</v>
      </c>
      <c r="J9" s="39">
        <v>1</v>
      </c>
      <c r="K9" s="39">
        <v>8</v>
      </c>
      <c r="L9" s="39">
        <v>0</v>
      </c>
      <c r="M9" s="12">
        <v>0</v>
      </c>
      <c r="N9" s="12">
        <v>0</v>
      </c>
      <c r="O9" s="40">
        <f>(L9*0.5)+(M9*0.4)+(N9*0.1)</f>
        <v>0</v>
      </c>
      <c r="P9" s="40">
        <v>361</v>
      </c>
      <c r="Q9" s="40">
        <f>ABS(G9-H9)</f>
        <v>0.20000000000000018</v>
      </c>
      <c r="R9" s="37">
        <f>ABS(G9-I9)</f>
        <v>0.17603238866396786</v>
      </c>
      <c r="S9" s="37">
        <f>ABS(H9-I9)</f>
        <v>0.023967611336032313</v>
      </c>
      <c r="T9" s="37">
        <f>SUM(E9,F9)/P9</f>
        <v>3.4210526315789473</v>
      </c>
      <c r="U9" s="37">
        <f>LOG10(E9+F9)*I9</f>
        <v>14.765901524439178</v>
      </c>
      <c r="V9" s="37">
        <f>(L9/P9)*100</f>
        <v>0</v>
      </c>
      <c r="W9" s="37">
        <f>(M9/P9)*100</f>
        <v>0</v>
      </c>
      <c r="X9" s="37">
        <f>(N9/P9)*100</f>
        <v>0</v>
      </c>
      <c r="Y9" s="40">
        <f>(O9/P9)*100</f>
        <v>0</v>
      </c>
      <c r="Z9" s="40">
        <f>E9/F9</f>
        <v>0.13615455381784727</v>
      </c>
      <c r="AA9" s="40">
        <f>(SUM(E9,F9)/(L9+0.1))/100</f>
        <v>123.5</v>
      </c>
      <c r="AB9" s="40">
        <f>(SUM(E9,F9)/(M9+0.1))/100</f>
        <v>123.5</v>
      </c>
      <c r="AC9" s="40">
        <f>(SUM(E9,F9)/(N9+0.1))/100</f>
        <v>123.5</v>
      </c>
      <c r="AD9" s="40">
        <f>(SUM(E9,F9)/(O9+0.1))/100</f>
        <v>123.5</v>
      </c>
    </row>
    <row r="10" ht="44.25">
      <c r="A10" s="35">
        <f>A9+1</f>
        <v>76</v>
      </c>
      <c r="B10" s="35" t="s">
        <v>138</v>
      </c>
      <c r="C10" s="12" t="s">
        <v>147</v>
      </c>
      <c r="D10" s="39" t="s">
        <v>105</v>
      </c>
      <c r="E10" s="12">
        <v>226</v>
      </c>
      <c r="F10" s="39">
        <v>647</v>
      </c>
      <c r="G10" s="12">
        <v>4.5</v>
      </c>
      <c r="H10" s="12">
        <v>4.9</v>
      </c>
      <c r="I10" s="39">
        <f>((G10*E10)+(H10*F10))/SUM(E10,F10)</f>
        <v>4.796449026345933</v>
      </c>
      <c r="J10" s="39">
        <v>1</v>
      </c>
      <c r="K10" s="39">
        <v>9</v>
      </c>
      <c r="L10" s="39">
        <v>0</v>
      </c>
      <c r="M10" s="12">
        <v>0</v>
      </c>
      <c r="N10" s="12">
        <v>0</v>
      </c>
      <c r="O10" s="40">
        <f>(L10*0.5)+(M10*0.4)+(N10*0.1)</f>
        <v>0</v>
      </c>
      <c r="P10" s="40">
        <v>453</v>
      </c>
      <c r="Q10" s="40">
        <f>ABS(G10-H10)</f>
        <v>0.40000000000000036</v>
      </c>
      <c r="R10" s="37">
        <f>ABS(G10-I10)</f>
        <v>0.2964490263459334</v>
      </c>
      <c r="S10" s="37">
        <f>ABS(H10-I10)</f>
        <v>0.10355097365406696</v>
      </c>
      <c r="T10" s="37">
        <f>SUM(E10,F10)/P10</f>
        <v>1.9271523178807948</v>
      </c>
      <c r="U10" s="37">
        <f>LOG10(E10+F10)*I10</f>
        <v>14.106424905691101</v>
      </c>
      <c r="V10" s="37">
        <f>(L10/P10)*100</f>
        <v>0</v>
      </c>
      <c r="W10" s="37">
        <f>(M10/P10)*100</f>
        <v>0</v>
      </c>
      <c r="X10" s="37">
        <f>(N10/P10)*100</f>
        <v>0</v>
      </c>
      <c r="Y10" s="40">
        <f>(O10/P10)*100</f>
        <v>0</v>
      </c>
      <c r="Z10" s="40">
        <f>E10/F10</f>
        <v>0.34930448222565685</v>
      </c>
      <c r="AA10" s="40">
        <f>(SUM(E10,F10)/(L10+0.1))/100</f>
        <v>87.3</v>
      </c>
      <c r="AB10" s="40">
        <f>(SUM(E10,F10)/(M10+0.1))/100</f>
        <v>87.3</v>
      </c>
      <c r="AC10" s="40">
        <f>(SUM(E10,F10)/(N10+0.1))/100</f>
        <v>87.3</v>
      </c>
      <c r="AD10" s="40">
        <f>(SUM(E10,F10)/(O10+0.1))/100</f>
        <v>87.3</v>
      </c>
    </row>
    <row r="11" ht="44.25">
      <c r="A11" s="35">
        <f>A10+1</f>
        <v>77</v>
      </c>
      <c r="B11" s="35" t="s">
        <v>138</v>
      </c>
      <c r="C11" s="12" t="s">
        <v>148</v>
      </c>
      <c r="D11" s="39" t="s">
        <v>105</v>
      </c>
      <c r="E11" s="12">
        <v>811</v>
      </c>
      <c r="F11" s="39">
        <v>344</v>
      </c>
      <c r="G11" s="12">
        <v>4.7</v>
      </c>
      <c r="H11" s="12">
        <v>4.9</v>
      </c>
      <c r="I11" s="39">
        <f>((G11*E11)+(H11*F11))/SUM(E11,F11)</f>
        <v>4.7595670995671</v>
      </c>
      <c r="J11" s="39">
        <v>1</v>
      </c>
      <c r="K11" s="39">
        <v>10</v>
      </c>
      <c r="L11" s="39">
        <v>100</v>
      </c>
      <c r="M11" s="12">
        <v>166</v>
      </c>
      <c r="N11" s="12">
        <v>50</v>
      </c>
      <c r="O11" s="40">
        <f>(L11*0.5)+(M11*0.4)+(N11*0.1)</f>
        <v>121.4</v>
      </c>
      <c r="P11" s="40">
        <v>1630</v>
      </c>
      <c r="Q11" s="40">
        <f>ABS(G11-H11)</f>
        <v>0.20000000000000018</v>
      </c>
      <c r="R11" s="37">
        <f>ABS(G11-I11)</f>
        <v>0.059567099567099824</v>
      </c>
      <c r="S11" s="37">
        <f>ABS(H11-I11)</f>
        <v>0.14043290043290035</v>
      </c>
      <c r="T11" s="37">
        <f>SUM(E11,F11)/P11</f>
        <v>0.7085889570552147</v>
      </c>
      <c r="U11" s="37">
        <f>LOG10(E11+F11)*I11</f>
        <v>14.576564451859293</v>
      </c>
      <c r="V11" s="37">
        <f>(L11/P11)*100</f>
        <v>6.134969325153374</v>
      </c>
      <c r="W11" s="37">
        <f>(M11/P11)*100</f>
        <v>10.184049079754601</v>
      </c>
      <c r="X11" s="37">
        <f>(N11/P11)*100</f>
        <v>3.067484662576687</v>
      </c>
      <c r="Y11" s="40">
        <f>(O11/P11)*100</f>
        <v>7.447852760736197</v>
      </c>
      <c r="Z11" s="40">
        <f>E11/F11</f>
        <v>2.3575581395348837</v>
      </c>
      <c r="AA11" s="40">
        <f>(SUM(E11,F11)/(L11+0.1))/100</f>
        <v>0.11538461538461538</v>
      </c>
      <c r="AB11" s="40">
        <f>(SUM(E11,F11)/(M11+0.1))/100</f>
        <v>0.06953642384105961</v>
      </c>
      <c r="AC11" s="40">
        <f>(SUM(E11,F11)/(N11+0.1))/100</f>
        <v>0.2305389221556886</v>
      </c>
      <c r="AD11" s="40">
        <f>(SUM(E11,F11)/(O11+0.1))/100</f>
        <v>0.09506172839506172</v>
      </c>
    </row>
    <row r="12" ht="57">
      <c r="A12" s="35">
        <f>A11+1</f>
        <v>78</v>
      </c>
      <c r="B12" s="35" t="s">
        <v>138</v>
      </c>
      <c r="C12" s="12" t="s">
        <v>149</v>
      </c>
      <c r="D12" s="39" t="s">
        <v>105</v>
      </c>
      <c r="E12" s="12">
        <v>367</v>
      </c>
      <c r="F12" s="39">
        <v>1709</v>
      </c>
      <c r="G12" s="12">
        <v>4.7</v>
      </c>
      <c r="H12" s="12">
        <v>4.9</v>
      </c>
      <c r="I12" s="39">
        <f>((G12*E12)+(H12*F12))/SUM(E12,F12)</f>
        <v>4.8646435452793835</v>
      </c>
      <c r="J12" s="39">
        <v>1</v>
      </c>
      <c r="K12" s="39">
        <v>11</v>
      </c>
      <c r="L12" s="39">
        <v>0</v>
      </c>
      <c r="M12" s="12">
        <v>0</v>
      </c>
      <c r="N12" s="12">
        <v>0</v>
      </c>
      <c r="O12" s="40">
        <f>(L12*0.5)+(M12*0.4)+(N12*0.1)</f>
        <v>0</v>
      </c>
      <c r="P12" s="40">
        <v>305</v>
      </c>
      <c r="Q12" s="40">
        <f>ABS(G12-H12)</f>
        <v>0.20000000000000018</v>
      </c>
      <c r="R12" s="37">
        <f>ABS(G12-I12)</f>
        <v>0.1646435452793833</v>
      </c>
      <c r="S12" s="37">
        <f>ABS(H12-I12)</f>
        <v>0.03535645472061688</v>
      </c>
      <c r="T12" s="37">
        <f>SUM(E12,F12)/P12</f>
        <v>6.80655737704918</v>
      </c>
      <c r="U12" s="37">
        <f>LOG10(E12+F12)*I12</f>
        <v>16.137128612395312</v>
      </c>
      <c r="V12" s="37">
        <f>(L12/P12)*100</f>
        <v>0</v>
      </c>
      <c r="W12" s="37">
        <f>(M12/P12)*100</f>
        <v>0</v>
      </c>
      <c r="X12" s="37">
        <f>(N12/P12)*100</f>
        <v>0</v>
      </c>
      <c r="Y12" s="40">
        <f>(O12/P12)*100</f>
        <v>0</v>
      </c>
      <c r="Z12" s="40">
        <f>E12/F12</f>
        <v>0.2147454651843183</v>
      </c>
      <c r="AA12" s="40">
        <f>(SUM(E12,F12)/(L12+0.1))/100</f>
        <v>207.6</v>
      </c>
      <c r="AB12" s="40">
        <f>(SUM(E12,F12)/(M12+0.1))/100</f>
        <v>207.6</v>
      </c>
      <c r="AC12" s="40">
        <f>(SUM(E12,F12)/(N12+0.1))/100</f>
        <v>207.6</v>
      </c>
      <c r="AD12" s="40">
        <f>(SUM(E12,F12)/(O12+0.1))/100</f>
        <v>207.6</v>
      </c>
    </row>
    <row r="13" ht="44.25">
      <c r="A13" s="35">
        <f>A12+1</f>
        <v>79</v>
      </c>
      <c r="B13" s="35" t="s">
        <v>138</v>
      </c>
      <c r="C13" s="12" t="s">
        <v>150</v>
      </c>
      <c r="D13" s="39" t="s">
        <v>105</v>
      </c>
      <c r="E13" s="12">
        <v>295</v>
      </c>
      <c r="F13" s="39">
        <v>215</v>
      </c>
      <c r="G13" s="12">
        <v>4.5</v>
      </c>
      <c r="H13" s="12">
        <v>4.9</v>
      </c>
      <c r="I13" s="39">
        <f>((G13*E13)+(H13*F13))/SUM(E13,F13)</f>
        <v>4.6686274509803924</v>
      </c>
      <c r="J13" s="39">
        <v>1</v>
      </c>
      <c r="K13" s="39">
        <v>12</v>
      </c>
      <c r="L13" s="39">
        <v>0</v>
      </c>
      <c r="M13" s="12">
        <v>0</v>
      </c>
      <c r="N13" s="12">
        <v>0</v>
      </c>
      <c r="O13" s="40">
        <f>(L13*0.5)+(M13*0.4)+(N13*0.1)</f>
        <v>0</v>
      </c>
      <c r="P13" s="40">
        <v>801</v>
      </c>
      <c r="Q13" s="40">
        <f>ABS(G13-H13)</f>
        <v>0.40000000000000036</v>
      </c>
      <c r="R13" s="37">
        <f>ABS(G13-I13)</f>
        <v>0.16862745098039245</v>
      </c>
      <c r="S13" s="37">
        <f>ABS(H13-I13)</f>
        <v>0.2313725490196079</v>
      </c>
      <c r="T13" s="37">
        <f>SUM(E13,F13)/P13</f>
        <v>0.6367041198501873</v>
      </c>
      <c r="U13" s="37">
        <f>LOG10(E13+F13)*I13</f>
        <v>12.64063644958664</v>
      </c>
      <c r="V13" s="37">
        <f>(L13/P13)*100</f>
        <v>0</v>
      </c>
      <c r="W13" s="37">
        <f>(M13/P13)*100</f>
        <v>0</v>
      </c>
      <c r="X13" s="37">
        <f>(N13/P13)*100</f>
        <v>0</v>
      </c>
      <c r="Y13" s="40">
        <f>(O13/P13)*100</f>
        <v>0</v>
      </c>
      <c r="Z13" s="40">
        <f>E13/F13</f>
        <v>1.372093023255814</v>
      </c>
      <c r="AA13" s="40">
        <f>(SUM(E13,F13)/(L13+0.1))/100</f>
        <v>51</v>
      </c>
      <c r="AB13" s="40">
        <f>(SUM(E13,F13)/(M13+0.1))/100</f>
        <v>51</v>
      </c>
      <c r="AC13" s="40">
        <f>(SUM(E13,F13)/(N13+0.1))/100</f>
        <v>51</v>
      </c>
      <c r="AD13" s="40">
        <f>(SUM(E13,F13)/(O13+0.1))/100</f>
        <v>51</v>
      </c>
    </row>
    <row r="14" ht="44.25">
      <c r="A14" s="35">
        <f>A13+1</f>
        <v>80</v>
      </c>
      <c r="B14" s="35" t="s">
        <v>138</v>
      </c>
      <c r="C14" s="12" t="s">
        <v>151</v>
      </c>
      <c r="D14" s="39" t="s">
        <v>105</v>
      </c>
      <c r="E14" s="12">
        <v>2037</v>
      </c>
      <c r="F14" s="39">
        <v>3792</v>
      </c>
      <c r="G14" s="12">
        <v>4.6</v>
      </c>
      <c r="H14" s="12">
        <v>4.6</v>
      </c>
      <c r="I14" s="39">
        <f>((G14*E14)+(H14*F14))/SUM(E14,F14)</f>
        <v>4.599999999999999</v>
      </c>
      <c r="J14" s="39">
        <v>1</v>
      </c>
      <c r="K14" s="39">
        <v>13</v>
      </c>
      <c r="L14" s="39">
        <v>0</v>
      </c>
      <c r="M14" s="12">
        <v>25</v>
      </c>
      <c r="N14" s="12">
        <v>0</v>
      </c>
      <c r="O14" s="40">
        <f>(L14*0.5)+(M14*0.4)+(N14*0.1)</f>
        <v>10</v>
      </c>
      <c r="P14" s="40">
        <v>740</v>
      </c>
      <c r="Q14" s="40">
        <f>ABS(G14-H14)</f>
        <v>0</v>
      </c>
      <c r="R14" s="37">
        <f>ABS(G14-I14)</f>
        <v>8.881784197001252E-16</v>
      </c>
      <c r="S14" s="37">
        <f>ABS(H14-I14)</f>
        <v>8.881784197001252E-16</v>
      </c>
      <c r="T14" s="37">
        <f>SUM(E14,F14)/P14</f>
        <v>7.877027027027027</v>
      </c>
      <c r="U14" s="37">
        <f>LOG10(E14+F14)*I14</f>
        <v>17.321732654469443</v>
      </c>
      <c r="V14" s="37">
        <f>(L14/P14)*100</f>
        <v>0</v>
      </c>
      <c r="W14" s="37">
        <f>(M14/P14)*100</f>
        <v>3.3783783783783785</v>
      </c>
      <c r="X14" s="37">
        <f>(N14/P14)*100</f>
        <v>0</v>
      </c>
      <c r="Y14" s="40">
        <f>(O14/P14)*100</f>
        <v>1.3513513513513513</v>
      </c>
      <c r="Z14" s="40">
        <f>E14/F14</f>
        <v>0.5371835443037974</v>
      </c>
      <c r="AA14" s="40">
        <f>(SUM(E14,F14)/(L14+0.1))/100</f>
        <v>582.9</v>
      </c>
      <c r="AB14" s="40">
        <f>(SUM(E14,F14)/(M14+0.1))/100</f>
        <v>2.3223107569721115</v>
      </c>
      <c r="AC14" s="40">
        <f>(SUM(E14,F14)/(N14+0.1))/100</f>
        <v>582.9</v>
      </c>
      <c r="AD14" s="40">
        <f>(SUM(E14,F14)/(O14+0.1))/100</f>
        <v>5.7712871287128715</v>
      </c>
    </row>
    <row r="15" ht="57">
      <c r="A15" s="35">
        <f>A14+1</f>
        <v>81</v>
      </c>
      <c r="B15" s="35" t="s">
        <v>138</v>
      </c>
      <c r="C15" s="12" t="s">
        <v>152</v>
      </c>
      <c r="D15" s="39" t="s">
        <v>105</v>
      </c>
      <c r="E15" s="12">
        <v>398</v>
      </c>
      <c r="F15" s="39">
        <v>363</v>
      </c>
      <c r="G15" s="12">
        <v>4.8</v>
      </c>
      <c r="H15" s="12">
        <v>4.9</v>
      </c>
      <c r="I15" s="39">
        <f>((G15*E15)+(H15*F15))/SUM(E15,F15)</f>
        <v>4.847700394218134</v>
      </c>
      <c r="J15" s="39">
        <v>1</v>
      </c>
      <c r="K15" s="39">
        <v>14</v>
      </c>
      <c r="L15" s="39">
        <v>0</v>
      </c>
      <c r="M15" s="12">
        <v>0</v>
      </c>
      <c r="N15" s="12">
        <v>0</v>
      </c>
      <c r="O15" s="40">
        <f>(L15*0.5)+(M15*0.4)+(N15*0.1)</f>
        <v>0</v>
      </c>
      <c r="P15" s="40">
        <v>207</v>
      </c>
      <c r="Q15" s="40">
        <f>ABS(G15-H15)</f>
        <v>0.10000000000000053</v>
      </c>
      <c r="R15" s="37">
        <f>ABS(G15-I15)</f>
        <v>0.047700394218134434</v>
      </c>
      <c r="S15" s="37">
        <f>ABS(H15-I15)</f>
        <v>0.0522996057818661</v>
      </c>
      <c r="T15" s="37">
        <f>SUM(E15,F15)/P15</f>
        <v>3.676328502415459</v>
      </c>
      <c r="U15" s="37">
        <f>LOG10(E15+F15)*I15</f>
        <v>13.96808953652079</v>
      </c>
      <c r="V15" s="37">
        <f>(L15/P15)*100</f>
        <v>0</v>
      </c>
      <c r="W15" s="37">
        <f>(M15/P15)*100</f>
        <v>0</v>
      </c>
      <c r="X15" s="37">
        <f>(N15/P15)*100</f>
        <v>0</v>
      </c>
      <c r="Y15" s="40">
        <f>(O15/P15)*100</f>
        <v>0</v>
      </c>
      <c r="Z15" s="40">
        <f>E15/F15</f>
        <v>1.0964187327823691</v>
      </c>
      <c r="AA15" s="40">
        <f>(SUM(E15,F15)/(L15+0.1))/100</f>
        <v>76.1</v>
      </c>
      <c r="AB15" s="40">
        <f>(SUM(E15,F15)/(M15+0.1))/100</f>
        <v>76.1</v>
      </c>
      <c r="AC15" s="40">
        <f>(SUM(E15,F15)/(N15+0.1))/100</f>
        <v>76.1</v>
      </c>
      <c r="AD15" s="40">
        <f>(SUM(E15,F15)/(O15+0.1))/100</f>
        <v>76.1</v>
      </c>
    </row>
    <row r="16" ht="30.75">
      <c r="A16" s="35">
        <f>A15+1</f>
        <v>82</v>
      </c>
      <c r="B16" s="35" t="s">
        <v>138</v>
      </c>
      <c r="C16" s="12" t="s">
        <v>153</v>
      </c>
      <c r="D16" s="39" t="s">
        <v>105</v>
      </c>
      <c r="E16" s="12">
        <v>3253</v>
      </c>
      <c r="F16" s="39">
        <v>7509</v>
      </c>
      <c r="G16" s="12">
        <v>4.6</v>
      </c>
      <c r="H16" s="12">
        <v>4.5</v>
      </c>
      <c r="I16" s="39">
        <f>((G16*E16)+(H16*F16))/SUM(E16,F16)</f>
        <v>4.530226723657313</v>
      </c>
      <c r="J16" s="39">
        <v>1</v>
      </c>
      <c r="K16" s="39">
        <v>15</v>
      </c>
      <c r="L16" s="39">
        <v>0</v>
      </c>
      <c r="M16" s="12">
        <v>20</v>
      </c>
      <c r="N16" s="12">
        <v>0</v>
      </c>
      <c r="O16" s="40">
        <f>(L16*0.5)+(M16*0.4)+(N16*0.1)</f>
        <v>8</v>
      </c>
      <c r="P16" s="40">
        <v>732</v>
      </c>
      <c r="Q16" s="40">
        <f>ABS(G16-H16)</f>
        <v>0.09999999999999964</v>
      </c>
      <c r="R16" s="37">
        <f>ABS(G16-I16)</f>
        <v>0.06977327634268704</v>
      </c>
      <c r="S16" s="37">
        <f>ABS(H16-I16)</f>
        <v>0.030226723657312604</v>
      </c>
      <c r="T16" s="37">
        <f>SUM(E16,F16)/P16</f>
        <v>14.702185792349727</v>
      </c>
      <c r="U16" s="37">
        <f>LOG10(E16+F16)*I16</f>
        <v>18.26538935985252</v>
      </c>
      <c r="V16" s="37">
        <f>(L16/P16)*100</f>
        <v>0</v>
      </c>
      <c r="W16" s="37">
        <f>(M16/P16)*100</f>
        <v>2.73224043715847</v>
      </c>
      <c r="X16" s="37">
        <f>(N16/P16)*100</f>
        <v>0</v>
      </c>
      <c r="Y16" s="40">
        <f>(O16/P16)*100</f>
        <v>1.092896174863388</v>
      </c>
      <c r="Z16" s="40">
        <f>E16/F16</f>
        <v>0.43321347716074043</v>
      </c>
      <c r="AA16" s="40">
        <f>(SUM(E16,F16)/(L16+0.1))/100</f>
        <v>1076.2</v>
      </c>
      <c r="AB16" s="40">
        <f>(SUM(E16,F16)/(M16+0.1))/100</f>
        <v>5.354228855721393</v>
      </c>
      <c r="AC16" s="40">
        <f>(SUM(E16,F16)/(N16+0.1))/100</f>
        <v>1076.2</v>
      </c>
      <c r="AD16" s="40">
        <f>(SUM(E16,F16)/(O16+0.1))/100</f>
        <v>13.28641975308642</v>
      </c>
    </row>
    <row r="17" ht="44.25">
      <c r="A17" s="35">
        <f>A16+1</f>
        <v>83</v>
      </c>
      <c r="B17" s="35" t="s">
        <v>138</v>
      </c>
      <c r="C17" s="12" t="s">
        <v>154</v>
      </c>
      <c r="D17" s="39" t="s">
        <v>105</v>
      </c>
      <c r="E17" s="12">
        <v>472</v>
      </c>
      <c r="F17" s="39">
        <v>439</v>
      </c>
      <c r="G17" s="12">
        <v>4.7</v>
      </c>
      <c r="H17" s="12">
        <v>4.8</v>
      </c>
      <c r="I17" s="39">
        <f>((G17*E17)+(H17*F17))/SUM(E17,F17)</f>
        <v>4.748188803512624</v>
      </c>
      <c r="J17" s="39">
        <v>1</v>
      </c>
      <c r="K17" s="39">
        <v>16</v>
      </c>
      <c r="L17" s="39">
        <v>0</v>
      </c>
      <c r="M17" s="12">
        <v>0</v>
      </c>
      <c r="N17" s="12">
        <v>16</v>
      </c>
      <c r="O17" s="40">
        <f>(L17*0.5)+(M17*0.4)+(N17*0.1)</f>
        <v>1.6</v>
      </c>
      <c r="P17" s="40">
        <v>623</v>
      </c>
      <c r="Q17" s="40">
        <f>ABS(G17-H17)</f>
        <v>0.09999999999999964</v>
      </c>
      <c r="R17" s="37">
        <f>ABS(G17-I17)</f>
        <v>0.04818880351262411</v>
      </c>
      <c r="S17" s="37">
        <f>ABS(H17-I17)</f>
        <v>0.05181119648737553</v>
      </c>
      <c r="T17" s="37">
        <f>SUM(E17,F17)/P17</f>
        <v>1.4622792937399678</v>
      </c>
      <c r="U17" s="37">
        <f>LOG10(E17+F17)*I17</f>
        <v>14.052352021333045</v>
      </c>
      <c r="V17" s="37">
        <f>(L17/P17)*100</f>
        <v>0</v>
      </c>
      <c r="W17" s="37">
        <f>(M17/P17)*100</f>
        <v>0</v>
      </c>
      <c r="X17" s="37">
        <f>(N17/P17)*100</f>
        <v>2.568218298555377</v>
      </c>
      <c r="Y17" s="40">
        <f>(O17/P17)*100</f>
        <v>0.2568218298555377</v>
      </c>
      <c r="Z17" s="40">
        <f>E17/F17</f>
        <v>1.0751708428246014</v>
      </c>
      <c r="AA17" s="40">
        <f>(SUM(E17,F17)/(L17+0.1))/100</f>
        <v>91.1</v>
      </c>
      <c r="AB17" s="40">
        <f>(SUM(E17,F17)/(M17+0.1))/100</f>
        <v>91.1</v>
      </c>
      <c r="AC17" s="40">
        <f>(SUM(E17,F17)/(N17+0.1))/100</f>
        <v>0.5658385093167702</v>
      </c>
      <c r="AD17" s="40">
        <f>(SUM(E17,F17)/(O17+0.1))/100</f>
        <v>5.358823529411764</v>
      </c>
    </row>
    <row r="18" ht="44.25">
      <c r="A18" s="35">
        <f>A17+1</f>
        <v>84</v>
      </c>
      <c r="B18" s="35" t="s">
        <v>138</v>
      </c>
      <c r="C18" s="12" t="s">
        <v>155</v>
      </c>
      <c r="D18" s="39" t="s">
        <v>105</v>
      </c>
      <c r="E18" s="12">
        <v>992</v>
      </c>
      <c r="F18" s="39">
        <v>1609</v>
      </c>
      <c r="G18" s="12">
        <v>4.7</v>
      </c>
      <c r="H18" s="12">
        <v>4.5</v>
      </c>
      <c r="I18" s="39">
        <f>((G18*E18)+(H18*F18))/SUM(E18,F18)</f>
        <v>4.576278354479047</v>
      </c>
      <c r="J18" s="39">
        <v>1</v>
      </c>
      <c r="K18" s="39">
        <v>17</v>
      </c>
      <c r="L18" s="39">
        <v>0</v>
      </c>
      <c r="M18" s="12">
        <v>0</v>
      </c>
      <c r="N18" s="12">
        <v>0</v>
      </c>
      <c r="O18" s="40">
        <f>(L18*0.5)+(M18*0.4)+(N18*0.1)</f>
        <v>0</v>
      </c>
      <c r="P18" s="40">
        <v>799</v>
      </c>
      <c r="Q18" s="40">
        <f>ABS(G18-H18)</f>
        <v>0.20000000000000018</v>
      </c>
      <c r="R18" s="37">
        <f>ABS(G18-I18)</f>
        <v>0.12372164552095288</v>
      </c>
      <c r="S18" s="37">
        <f>ABS(H18-I18)</f>
        <v>0.0762783544790473</v>
      </c>
      <c r="T18" s="37">
        <f>SUM(E18,F18)/P18</f>
        <v>3.25531914893617</v>
      </c>
      <c r="U18" s="37">
        <f>LOG10(E18+F18)*I18</f>
        <v>15.628632871261921</v>
      </c>
      <c r="V18" s="37">
        <f>(L18/P18)*100</f>
        <v>0</v>
      </c>
      <c r="W18" s="37">
        <f>(M18/P18)*100</f>
        <v>0</v>
      </c>
      <c r="X18" s="37">
        <f>(N18/P18)*100</f>
        <v>0</v>
      </c>
      <c r="Y18" s="40">
        <f>(O18/P18)*100</f>
        <v>0</v>
      </c>
      <c r="Z18" s="40">
        <f>E18/F18</f>
        <v>0.6165320074580485</v>
      </c>
      <c r="AA18" s="40">
        <f>(SUM(E18,F18)/(L18+0.1))/100</f>
        <v>260.1</v>
      </c>
      <c r="AB18" s="40">
        <f>(SUM(E18,F18)/(M18+0.1))/100</f>
        <v>260.1</v>
      </c>
      <c r="AC18" s="40">
        <f>(SUM(E18,F18)/(N18+0.1))/100</f>
        <v>260.1</v>
      </c>
      <c r="AD18" s="40">
        <f>(SUM(E18,F18)/(O18+0.1))/100</f>
        <v>260.1</v>
      </c>
    </row>
    <row r="19" ht="42.75">
      <c r="A19" s="35">
        <f>A18+1</f>
        <v>85</v>
      </c>
      <c r="B19" s="35" t="s">
        <v>138</v>
      </c>
      <c r="C19" s="12" t="s">
        <v>156</v>
      </c>
      <c r="D19" s="39" t="s">
        <v>105</v>
      </c>
      <c r="E19" s="12">
        <v>1322</v>
      </c>
      <c r="F19" s="39">
        <v>598</v>
      </c>
      <c r="G19" s="12">
        <v>4.6</v>
      </c>
      <c r="H19" s="12">
        <v>4.7</v>
      </c>
      <c r="I19" s="39">
        <f>((G19*E19)+(H19*F19))/SUM(E19,F19)</f>
        <v>4.631145833333333</v>
      </c>
      <c r="J19" s="39">
        <v>1</v>
      </c>
      <c r="K19" s="39">
        <v>18</v>
      </c>
      <c r="L19" s="39">
        <v>0</v>
      </c>
      <c r="M19" s="12">
        <v>0</v>
      </c>
      <c r="N19" s="12">
        <v>0</v>
      </c>
      <c r="O19" s="40">
        <f>(L19*0.5)+(M19*0.4)+(N19*0.1)</f>
        <v>0</v>
      </c>
      <c r="P19" s="40">
        <v>1010</v>
      </c>
      <c r="Q19" s="40">
        <f>ABS(G19-H19)</f>
        <v>0.10000000000000053</v>
      </c>
      <c r="R19" s="37">
        <f>ABS(G19-I19)</f>
        <v>0.031145833333333428</v>
      </c>
      <c r="S19" s="37">
        <f>ABS(H19-I19)</f>
        <v>0.0688541666666671</v>
      </c>
      <c r="T19" s="37">
        <f>SUM(E19,F19)/P19</f>
        <v>1.900990099009901</v>
      </c>
      <c r="U19" s="37">
        <f>LOG10(E19+F19)*I19</f>
        <v>15.205446804888657</v>
      </c>
      <c r="V19" s="37">
        <f>(L19/P19)*100</f>
        <v>0</v>
      </c>
      <c r="W19" s="37">
        <f>(M19/P19)*100</f>
        <v>0</v>
      </c>
      <c r="X19" s="37">
        <f>(N19/P19)*100</f>
        <v>0</v>
      </c>
      <c r="Y19" s="40">
        <f>(O19/P19)*100</f>
        <v>0</v>
      </c>
      <c r="Z19" s="40">
        <f>E19/F19</f>
        <v>2.210702341137124</v>
      </c>
      <c r="AA19" s="40">
        <f>(SUM(E19,F19)/(L19+0.1))/100</f>
        <v>192</v>
      </c>
      <c r="AB19" s="40">
        <f>(SUM(E19,F19)/(M19+0.1))/100</f>
        <v>192</v>
      </c>
      <c r="AC19" s="40">
        <f>(SUM(E19,F19)/(N19+0.1))/100</f>
        <v>192</v>
      </c>
      <c r="AD19" s="40">
        <f>(SUM(E19,F19)/(O19+0.1))/100</f>
        <v>192</v>
      </c>
    </row>
    <row r="20" ht="30.75">
      <c r="A20" s="35">
        <f>A19+1</f>
        <v>86</v>
      </c>
      <c r="B20" s="35" t="s">
        <v>138</v>
      </c>
      <c r="C20" s="12" t="s">
        <v>157</v>
      </c>
      <c r="D20" s="39" t="s">
        <v>105</v>
      </c>
      <c r="E20" s="12">
        <v>321</v>
      </c>
      <c r="F20" s="39">
        <v>335</v>
      </c>
      <c r="G20" s="12">
        <v>4.7</v>
      </c>
      <c r="H20" s="12">
        <v>4.8</v>
      </c>
      <c r="I20" s="39">
        <f>((G20*E20)+(H20*F20))/SUM(E20,F20)</f>
        <v>4.751067073170732</v>
      </c>
      <c r="J20" s="39">
        <v>1</v>
      </c>
      <c r="K20" s="39">
        <v>19</v>
      </c>
      <c r="L20" s="39">
        <v>0</v>
      </c>
      <c r="M20" s="12">
        <v>0</v>
      </c>
      <c r="N20" s="12">
        <v>0</v>
      </c>
      <c r="O20" s="40">
        <f>(L20*0.5)+(M20*0.4)+(N20*0.1)</f>
        <v>0</v>
      </c>
      <c r="P20" s="40">
        <v>346</v>
      </c>
      <c r="Q20" s="40">
        <f>ABS(G20-H20)</f>
        <v>0.09999999999999964</v>
      </c>
      <c r="R20" s="37">
        <f>ABS(G20-I20)</f>
        <v>0.05106707317073145</v>
      </c>
      <c r="S20" s="37">
        <f>ABS(H20-I20)</f>
        <v>0.0489329268292682</v>
      </c>
      <c r="T20" s="37">
        <f>SUM(E20,F20)/P20</f>
        <v>1.8959537572254335</v>
      </c>
      <c r="U20" s="37">
        <f>LOG10(E20+F20)*I20</f>
        <v>13.383299079545916</v>
      </c>
      <c r="V20" s="37">
        <f>(L20/P20)*100</f>
        <v>0</v>
      </c>
      <c r="W20" s="37">
        <f>(M20/P20)*100</f>
        <v>0</v>
      </c>
      <c r="X20" s="37">
        <f>(N20/P20)*100</f>
        <v>0</v>
      </c>
      <c r="Y20" s="40">
        <f>(O20/P20)*100</f>
        <v>0</v>
      </c>
      <c r="Z20" s="40">
        <f>E20/F20</f>
        <v>0.9582089552238806</v>
      </c>
      <c r="AA20" s="40">
        <f>(SUM(E20,F20)/(L20+0.1))/100</f>
        <v>65.6</v>
      </c>
      <c r="AB20" s="40">
        <f>(SUM(E20,F20)/(M20+0.1))/100</f>
        <v>65.6</v>
      </c>
      <c r="AC20" s="40">
        <f>(SUM(E20,F20)/(N20+0.1))/100</f>
        <v>65.6</v>
      </c>
      <c r="AD20" s="40">
        <f>(SUM(E20,F20)/(O20+0.1))/100</f>
        <v>65.6</v>
      </c>
    </row>
    <row r="21" ht="57.75">
      <c r="A21" s="35">
        <f>A20+1</f>
        <v>87</v>
      </c>
      <c r="B21" s="35" t="s">
        <v>138</v>
      </c>
      <c r="C21" s="12" t="s">
        <v>158</v>
      </c>
      <c r="D21" s="39" t="s">
        <v>105</v>
      </c>
      <c r="E21" s="12">
        <v>977</v>
      </c>
      <c r="F21" s="39">
        <v>1597</v>
      </c>
      <c r="G21" s="12">
        <v>4.6</v>
      </c>
      <c r="H21" s="12">
        <v>4.4</v>
      </c>
      <c r="I21" s="39">
        <f>((G21*E21)+(H21*F21))/SUM(E21,F21)</f>
        <v>4.475912975912976</v>
      </c>
      <c r="J21" s="39">
        <v>1</v>
      </c>
      <c r="K21" s="39">
        <v>20</v>
      </c>
      <c r="L21" s="39">
        <v>0</v>
      </c>
      <c r="M21" s="12">
        <v>0</v>
      </c>
      <c r="N21" s="12">
        <v>0</v>
      </c>
      <c r="O21" s="40">
        <f>(L21*0.5)+(M21*0.4)+(N21*0.1)</f>
        <v>0</v>
      </c>
      <c r="P21" s="40">
        <v>778</v>
      </c>
      <c r="Q21" s="40">
        <f>ABS(G21-H21)</f>
        <v>0.1999999999999993</v>
      </c>
      <c r="R21" s="37">
        <f>ABS(G21-I21)</f>
        <v>0.12408702408702332</v>
      </c>
      <c r="S21" s="37">
        <f>ABS(H21-I21)</f>
        <v>0.07591297591297597</v>
      </c>
      <c r="T21" s="37">
        <f>SUM(E21,F21)/P21</f>
        <v>3.308483290488432</v>
      </c>
      <c r="U21" s="37">
        <f>LOG10(E21+F21)*I21</f>
        <v>15.265587031441402</v>
      </c>
      <c r="V21" s="37">
        <f>(L21/P21)*100</f>
        <v>0</v>
      </c>
      <c r="W21" s="37">
        <f>(M21/P21)*100</f>
        <v>0</v>
      </c>
      <c r="X21" s="37">
        <f>(N21/P21)*100</f>
        <v>0</v>
      </c>
      <c r="Y21" s="40">
        <f>(O21/P21)*100</f>
        <v>0</v>
      </c>
      <c r="Z21" s="40">
        <f>E21/F21</f>
        <v>0.6117720726361928</v>
      </c>
      <c r="AA21" s="40">
        <f>(SUM(E21,F21)/(L21+0.1))/100</f>
        <v>257.4</v>
      </c>
      <c r="AB21" s="40">
        <f>(SUM(E21,F21)/(M21+0.1))/100</f>
        <v>257.4</v>
      </c>
      <c r="AC21" s="40">
        <f>(SUM(E21,F21)/(N21+0.1))/100</f>
        <v>257.4</v>
      </c>
      <c r="AD21" s="40">
        <f>(SUM(E21,F21)/(O21+0.1))/100</f>
        <v>257.4</v>
      </c>
    </row>
    <row r="22" ht="44.25">
      <c r="A22" s="35">
        <f>A21+1</f>
        <v>88</v>
      </c>
      <c r="B22" s="35" t="s">
        <v>138</v>
      </c>
      <c r="C22" s="13" t="s">
        <v>159</v>
      </c>
      <c r="D22" s="39" t="s">
        <v>105</v>
      </c>
      <c r="E22" s="13">
        <v>718</v>
      </c>
      <c r="F22" s="39">
        <v>522</v>
      </c>
      <c r="G22" s="12">
        <v>4.8</v>
      </c>
      <c r="H22" s="12">
        <v>4.8</v>
      </c>
      <c r="I22" s="39">
        <f>((G22*E22)+(H22*F22))/SUM(E22,F22)</f>
        <v>4.8</v>
      </c>
      <c r="J22" s="39">
        <v>1</v>
      </c>
      <c r="K22" s="39">
        <v>21</v>
      </c>
      <c r="L22" s="39">
        <v>0</v>
      </c>
      <c r="M22" s="12">
        <v>0</v>
      </c>
      <c r="N22" s="12">
        <v>0</v>
      </c>
      <c r="O22" s="40">
        <f>(L22*0.5)+(M22*0.4)+(N22*0.1)</f>
        <v>0</v>
      </c>
      <c r="P22" s="40">
        <v>527</v>
      </c>
      <c r="Q22" s="40">
        <f>ABS(G22-H22)</f>
        <v>0</v>
      </c>
      <c r="R22" s="37">
        <f>ABS(G22-I22)</f>
        <v>0</v>
      </c>
      <c r="S22" s="37">
        <f>ABS(H22-I22)</f>
        <v>0</v>
      </c>
      <c r="T22" s="37">
        <f>SUM(E22,F22)/P22</f>
        <v>2.3529411764705883</v>
      </c>
      <c r="U22" s="37">
        <f>LOG10(E22+F22)*I22</f>
        <v>14.848424088778728</v>
      </c>
      <c r="V22" s="37">
        <f>(L22/P22)*100</f>
        <v>0</v>
      </c>
      <c r="W22" s="37">
        <f>(M22/P22)*100</f>
        <v>0</v>
      </c>
      <c r="X22" s="37">
        <f>(N22/P22)*100</f>
        <v>0</v>
      </c>
      <c r="Y22" s="40">
        <f>(O22/P22)*100</f>
        <v>0</v>
      </c>
      <c r="Z22" s="40">
        <f>E22/F22</f>
        <v>1.3754789272030652</v>
      </c>
      <c r="AA22" s="40">
        <f>(SUM(E22,F22)/(L22+0.1))/100</f>
        <v>124</v>
      </c>
      <c r="AB22" s="40">
        <f>(SUM(E22,F22)/(M22+0.1))/100</f>
        <v>124</v>
      </c>
      <c r="AC22" s="40">
        <f>(SUM(E22,F22)/(N22+0.1))/100</f>
        <v>124</v>
      </c>
      <c r="AD22" s="40">
        <f>(SUM(E22,F22)/(O22+0.1))/100</f>
        <v>124</v>
      </c>
    </row>
    <row r="23" ht="44.25">
      <c r="A23" s="35">
        <f>A22+1</f>
        <v>89</v>
      </c>
      <c r="B23" s="35" t="s">
        <v>138</v>
      </c>
      <c r="C23" s="12" t="s">
        <v>160</v>
      </c>
      <c r="D23" s="39" t="s">
        <v>105</v>
      </c>
      <c r="E23" s="12">
        <v>556</v>
      </c>
      <c r="F23" s="39">
        <v>2438</v>
      </c>
      <c r="G23" s="12">
        <v>4.7</v>
      </c>
      <c r="H23" s="12">
        <v>4.6</v>
      </c>
      <c r="I23" s="39">
        <f>((G23*E23)+(H23*F23))/SUM(E23,F23)</f>
        <v>4.618570474281897</v>
      </c>
      <c r="J23" s="39">
        <v>1</v>
      </c>
      <c r="K23" s="39">
        <v>22</v>
      </c>
      <c r="L23" s="39">
        <v>0</v>
      </c>
      <c r="M23" s="12">
        <v>0</v>
      </c>
      <c r="N23" s="12">
        <v>0</v>
      </c>
      <c r="O23" s="40">
        <f>(L23*0.5)+(M23*0.4)+(N23*0.1)</f>
        <v>0</v>
      </c>
      <c r="P23" s="40">
        <v>266</v>
      </c>
      <c r="Q23" s="40">
        <f>ABS(G23-H23)</f>
        <v>0.10000000000000053</v>
      </c>
      <c r="R23" s="37">
        <f>ABS(G23-I23)</f>
        <v>0.0814295257181028</v>
      </c>
      <c r="S23" s="37">
        <f>ABS(H23-I23)</f>
        <v>0.01857047428189773</v>
      </c>
      <c r="T23" s="37">
        <f>SUM(E23,F23)/P23</f>
        <v>11.25563909774436</v>
      </c>
      <c r="U23" s="37">
        <f>LOG10(E23+F23)*I23</f>
        <v>16.055313906207502</v>
      </c>
      <c r="V23" s="37">
        <f>(L23/P23)*100</f>
        <v>0</v>
      </c>
      <c r="W23" s="37">
        <f>(M23/P23)*100</f>
        <v>0</v>
      </c>
      <c r="X23" s="37">
        <f>(N23/P23)*100</f>
        <v>0</v>
      </c>
      <c r="Y23" s="40">
        <f>(O23/P23)*100</f>
        <v>0</v>
      </c>
      <c r="Z23" s="40">
        <f>E23/F23</f>
        <v>0.2280557834290402</v>
      </c>
      <c r="AA23" s="40">
        <f>(SUM(E23,F23)/(L23+0.1))/100</f>
        <v>299.4</v>
      </c>
      <c r="AB23" s="40">
        <f>(SUM(E23,F23)/(M23+0.1))/100</f>
        <v>299.4</v>
      </c>
      <c r="AC23" s="40">
        <f>(SUM(E23,F23)/(N23+0.1))/100</f>
        <v>299.4</v>
      </c>
      <c r="AD23" s="40">
        <f>(SUM(E23,F23)/(O23+0.1))/100</f>
        <v>299.4</v>
      </c>
    </row>
    <row r="24" ht="42.75">
      <c r="A24" s="35">
        <f>A23+1</f>
        <v>90</v>
      </c>
      <c r="B24" s="35" t="s">
        <v>138</v>
      </c>
      <c r="C24" s="12" t="s">
        <v>161</v>
      </c>
      <c r="D24" s="39" t="s">
        <v>105</v>
      </c>
      <c r="E24" s="12">
        <v>1146</v>
      </c>
      <c r="F24" s="39">
        <v>1252</v>
      </c>
      <c r="G24" s="12">
        <v>4.6</v>
      </c>
      <c r="H24" s="12">
        <v>4.6</v>
      </c>
      <c r="I24" s="39">
        <f>((G24*E24)+(H24*F24))/SUM(E24,F24)</f>
        <v>4.6</v>
      </c>
      <c r="J24" s="39">
        <v>1</v>
      </c>
      <c r="K24" s="39">
        <v>23</v>
      </c>
      <c r="L24" s="39">
        <v>0</v>
      </c>
      <c r="M24" s="12">
        <v>20</v>
      </c>
      <c r="N24" s="12">
        <v>0</v>
      </c>
      <c r="O24" s="40">
        <f>(L24*0.5)+(M24*0.4)+(N24*0.1)</f>
        <v>8</v>
      </c>
      <c r="P24" s="40">
        <v>1120</v>
      </c>
      <c r="Q24" s="40">
        <f>ABS(G24-H24)</f>
        <v>0</v>
      </c>
      <c r="R24" s="37">
        <f>ABS(G24-I24)</f>
        <v>0</v>
      </c>
      <c r="S24" s="37">
        <f>ABS(H24-I24)</f>
        <v>0</v>
      </c>
      <c r="T24" s="37">
        <f>SUM(E24,F24)/P24</f>
        <v>2.1410714285714287</v>
      </c>
      <c r="U24" s="37">
        <f>LOG10(E24+F24)*I24</f>
        <v>15.547306222309016</v>
      </c>
      <c r="V24" s="37">
        <f>(L24/P24)*100</f>
        <v>0</v>
      </c>
      <c r="W24" s="37">
        <f>(M24/P24)*100</f>
        <v>1.7857142857142856</v>
      </c>
      <c r="X24" s="37">
        <f>(N24/P24)*100</f>
        <v>0</v>
      </c>
      <c r="Y24" s="40">
        <f>(O24/P24)*100</f>
        <v>0.7142857142857143</v>
      </c>
      <c r="Z24" s="40">
        <f>E24/F24</f>
        <v>0.9153354632587859</v>
      </c>
      <c r="AA24" s="40">
        <f>(SUM(E24,F24)/(L24+0.1))/100</f>
        <v>239.8</v>
      </c>
      <c r="AB24" s="40">
        <f>(SUM(E24,F24)/(M24+0.1))/100</f>
        <v>1.1930348258706467</v>
      </c>
      <c r="AC24" s="40">
        <f>(SUM(E24,F24)/(N24+0.1))/100</f>
        <v>239.8</v>
      </c>
      <c r="AD24" s="40">
        <f>(SUM(E24,F24)/(O24+0.1))/100</f>
        <v>2.9604938271604944</v>
      </c>
    </row>
    <row r="25" ht="42.75">
      <c r="A25" s="35">
        <f>A24+1</f>
        <v>91</v>
      </c>
      <c r="B25" s="35" t="s">
        <v>138</v>
      </c>
      <c r="C25" s="12" t="s">
        <v>162</v>
      </c>
      <c r="D25" s="39" t="s">
        <v>105</v>
      </c>
      <c r="E25" s="12">
        <v>749</v>
      </c>
      <c r="F25" s="39">
        <v>1692</v>
      </c>
      <c r="G25" s="12">
        <v>4.3</v>
      </c>
      <c r="H25" s="12">
        <v>4.6</v>
      </c>
      <c r="I25" s="39">
        <f>((G25*E25)+(H25*F25))/SUM(E25,F25)</f>
        <v>4.507947562474396</v>
      </c>
      <c r="J25" s="39">
        <v>1</v>
      </c>
      <c r="K25" s="39">
        <v>24</v>
      </c>
      <c r="L25" s="39">
        <v>0</v>
      </c>
      <c r="M25" s="12">
        <v>0</v>
      </c>
      <c r="N25" s="13">
        <v>0</v>
      </c>
      <c r="O25" s="40">
        <f>(L25*0.5)+(M25*0.4)+(N25*0.1)</f>
        <v>0</v>
      </c>
      <c r="P25" s="40">
        <v>406</v>
      </c>
      <c r="Q25" s="40">
        <f>ABS(G25-H25)</f>
        <v>0.2999999999999998</v>
      </c>
      <c r="R25" s="37">
        <f>ABS(G25-I25)</f>
        <v>0.20794756247439583</v>
      </c>
      <c r="S25" s="37">
        <f>ABS(H25-I25)</f>
        <v>0.09205243752560399</v>
      </c>
      <c r="T25" s="37">
        <f>SUM(E25,F25)/P25</f>
        <v>6.012315270935961</v>
      </c>
      <c r="U25" s="37">
        <f>LOG10(E25+F25)*I25</f>
        <v>15.270977913940518</v>
      </c>
      <c r="V25" s="37">
        <f>(L25/P25)*100</f>
        <v>0</v>
      </c>
      <c r="W25" s="37">
        <f>(M25/P25)*100</f>
        <v>0</v>
      </c>
      <c r="X25" s="37">
        <f>(N25/P25)*100</f>
        <v>0</v>
      </c>
      <c r="Y25" s="40">
        <f>(O25/P25)*100</f>
        <v>0</v>
      </c>
      <c r="Z25" s="40">
        <f>E25/F25</f>
        <v>0.4426713947990544</v>
      </c>
      <c r="AA25" s="40">
        <f>(SUM(E25,F25)/(L25+0.1))/100</f>
        <v>244.1</v>
      </c>
      <c r="AB25" s="40">
        <f>(SUM(E25,F25)/(M25+0.1))/100</f>
        <v>244.1</v>
      </c>
      <c r="AC25" s="40">
        <f>(SUM(E25,F25)/(N25+0.1))/100</f>
        <v>244.1</v>
      </c>
      <c r="AD25" s="40">
        <f>(SUM(E25,F25)/(O25+0.1))/100</f>
        <v>244.1</v>
      </c>
    </row>
    <row r="26" ht="30.75">
      <c r="A26" s="35">
        <f>A25+1</f>
        <v>92</v>
      </c>
      <c r="B26" s="35" t="s">
        <v>138</v>
      </c>
      <c r="C26" s="12" t="s">
        <v>163</v>
      </c>
      <c r="D26" s="39" t="s">
        <v>105</v>
      </c>
      <c r="E26" s="12">
        <v>4046</v>
      </c>
      <c r="F26" s="39">
        <v>286</v>
      </c>
      <c r="G26" s="12">
        <v>4.3</v>
      </c>
      <c r="H26" s="12">
        <v>4.7</v>
      </c>
      <c r="I26" s="39">
        <f>((G26*E26)+(H26*F26))/SUM(E26,F26)</f>
        <v>4.3264081255771005</v>
      </c>
      <c r="J26" s="39">
        <v>1</v>
      </c>
      <c r="K26" s="39">
        <v>25</v>
      </c>
      <c r="L26" s="39">
        <v>100</v>
      </c>
      <c r="M26" s="12">
        <v>95</v>
      </c>
      <c r="N26" s="40">
        <v>50</v>
      </c>
      <c r="O26" s="40">
        <f>(L26*0.5)+(M26*0.4)+(N26*0.1)</f>
        <v>93</v>
      </c>
      <c r="P26" s="40">
        <v>1580</v>
      </c>
      <c r="Q26" s="40">
        <f>ABS(G26-H26)</f>
        <v>0.40000000000000036</v>
      </c>
      <c r="R26" s="40">
        <f>ABS(G26-I26)</f>
        <v>0.026408125577100705</v>
      </c>
      <c r="S26" s="37">
        <f>ABS(H26-I26)</f>
        <v>0.37359187442289965</v>
      </c>
      <c r="T26" s="37">
        <f>SUM(E26,F26)/P26</f>
        <v>2.741772151898734</v>
      </c>
      <c r="U26" s="37">
        <f>LOG10(E26+F26)*I26</f>
        <v>15.733798451417456</v>
      </c>
      <c r="V26" s="37">
        <f>(L26/P26)*100</f>
        <v>6.329113924050633</v>
      </c>
      <c r="W26" s="40">
        <f>(M26/P26)*100</f>
        <v>6.012658227848101</v>
      </c>
      <c r="X26" s="37">
        <f>(N26/P26)*100</f>
        <v>3.1645569620253164</v>
      </c>
      <c r="Y26" s="40">
        <f>(O26/P26)*100</f>
        <v>5.886075949367089</v>
      </c>
      <c r="Z26" s="40">
        <f>E26/F26</f>
        <v>14.146853146853147</v>
      </c>
      <c r="AA26" s="40">
        <f>(SUM(E26,F26)/(L26+0.1))/100</f>
        <v>0.43276723276723283</v>
      </c>
      <c r="AB26" s="40">
        <f>(SUM(E26,F26)/(M26+0.1))/100</f>
        <v>0.45552050473186123</v>
      </c>
      <c r="AC26" s="40">
        <f>(SUM(E26,F26)/(N26+0.1))/100</f>
        <v>0.8646706586826347</v>
      </c>
      <c r="AD26" s="40">
        <f>(SUM(E26,F26)/(O26+0.1))/100</f>
        <v>0.4653061224489796</v>
      </c>
    </row>
    <row r="27" ht="85.5">
      <c r="A27" s="35">
        <f>A26+1</f>
        <v>93</v>
      </c>
      <c r="B27" s="35" t="s">
        <v>138</v>
      </c>
      <c r="C27" s="12" t="s">
        <v>166</v>
      </c>
      <c r="D27" s="39" t="s">
        <v>131</v>
      </c>
      <c r="E27" s="12">
        <v>646</v>
      </c>
      <c r="F27" s="39">
        <v>327</v>
      </c>
      <c r="G27" s="12">
        <v>4.6</v>
      </c>
      <c r="H27" s="12">
        <v>4.6</v>
      </c>
      <c r="I27" s="40">
        <f>((G27*E27)+(H27*F27))/SUM(E27,F27)</f>
        <v>4.6</v>
      </c>
      <c r="J27" s="40">
        <v>1</v>
      </c>
      <c r="K27" s="40">
        <v>52</v>
      </c>
      <c r="L27" s="40">
        <v>0</v>
      </c>
      <c r="M27" s="12">
        <v>14</v>
      </c>
      <c r="N27" s="12">
        <v>0</v>
      </c>
      <c r="O27" s="40">
        <f>(L27*0.5)+(M27*0.4)+(N27*0.1)</f>
        <v>5.6000000000000005</v>
      </c>
      <c r="P27" s="40">
        <v>666</v>
      </c>
      <c r="Q27" s="40">
        <f>ABS(G27-H27)</f>
        <v>0</v>
      </c>
      <c r="R27" s="37">
        <f>ABS(G27-I27)</f>
        <v>0</v>
      </c>
      <c r="S27" s="37">
        <f>ABS(H27-I27)</f>
        <v>0</v>
      </c>
      <c r="T27" s="37">
        <f>SUM(E27,F27)/P27</f>
        <v>1.460960960960961</v>
      </c>
      <c r="U27" s="40">
        <f>LOG10(E27+F27)*I27</f>
        <v>13.745319065234417</v>
      </c>
      <c r="V27" s="40">
        <f>(L27/P27)*100</f>
        <v>0</v>
      </c>
      <c r="W27" s="37">
        <f>(M27/P27)*100</f>
        <v>2.1021021021021022</v>
      </c>
      <c r="X27" s="40">
        <f>(N27/P27)*100</f>
        <v>0</v>
      </c>
      <c r="Y27" s="40">
        <f>(O27/P27)*100</f>
        <v>0.8408408408408409</v>
      </c>
      <c r="Z27" s="40">
        <f>E27/F27</f>
        <v>1.9755351681957187</v>
      </c>
      <c r="AA27" s="40">
        <f>(SUM(E27,F27)/(L27+0.1))/100</f>
        <v>97.3</v>
      </c>
      <c r="AB27" s="40">
        <f>(SUM(E27,F27)/(M27+0.1))/100</f>
        <v>0.6900709219858157</v>
      </c>
      <c r="AC27" s="40">
        <f>(SUM(E27,F27)/(N27+0.1))/100</f>
        <v>97.3</v>
      </c>
      <c r="AD27" s="40">
        <f>(SUM(E27,F27)/(O27+0.1))/100</f>
        <v>1.707017543859649</v>
      </c>
    </row>
    <row r="28" ht="30.75">
      <c r="A28" s="35">
        <f>A27+1</f>
        <v>94</v>
      </c>
      <c r="B28" s="35" t="s">
        <v>138</v>
      </c>
      <c r="C28" s="12" t="s">
        <v>167</v>
      </c>
      <c r="D28" s="39" t="s">
        <v>131</v>
      </c>
      <c r="E28" s="12">
        <v>1473</v>
      </c>
      <c r="F28" s="39">
        <v>2447</v>
      </c>
      <c r="G28" s="12">
        <v>4.6</v>
      </c>
      <c r="H28" s="12">
        <v>4.4</v>
      </c>
      <c r="I28" s="40">
        <f>((G28*E28)+(H28*F28))/SUM(E28,F28)</f>
        <v>4.475153061224489</v>
      </c>
      <c r="J28" s="40">
        <v>1</v>
      </c>
      <c r="K28" s="40">
        <v>42</v>
      </c>
      <c r="L28" s="40">
        <v>0</v>
      </c>
      <c r="M28" s="12">
        <v>0</v>
      </c>
      <c r="N28" s="12">
        <v>0</v>
      </c>
      <c r="O28" s="40">
        <f>(L28*0.5)+(M28*0.4)+(N28*0.1)</f>
        <v>0</v>
      </c>
      <c r="P28" s="40">
        <v>407</v>
      </c>
      <c r="Q28" s="40">
        <f>ABS(G28-H28)</f>
        <v>0.1999999999999993</v>
      </c>
      <c r="R28" s="37">
        <f>ABS(G28-I28)</f>
        <v>0.12484693877551045</v>
      </c>
      <c r="S28" s="37">
        <f>ABS(H28-I28)</f>
        <v>0.07515306122448884</v>
      </c>
      <c r="T28" s="37">
        <f>SUM(E28,F28)/P28</f>
        <v>9.631449631449632</v>
      </c>
      <c r="U28" s="40">
        <f>LOG10(E28+F28)*I28</f>
        <v>16.080505142681904</v>
      </c>
      <c r="V28" s="40">
        <f>(L28/P28)*100</f>
        <v>0</v>
      </c>
      <c r="W28" s="37">
        <f>(M28/P28)*100</f>
        <v>0</v>
      </c>
      <c r="X28" s="37">
        <f>(N28/P28)*100</f>
        <v>0</v>
      </c>
      <c r="Y28" s="40">
        <f>(O28/P28)*100</f>
        <v>0</v>
      </c>
      <c r="Z28" s="40">
        <f>E28/F28</f>
        <v>0.6019615856150389</v>
      </c>
      <c r="AA28" s="40">
        <f>(SUM(E28,F28)/(L28+0.1))/100</f>
        <v>392</v>
      </c>
      <c r="AB28" s="40">
        <f>(SUM(E28,F28)/(M28+0.1))/100</f>
        <v>392</v>
      </c>
      <c r="AC28" s="40">
        <f>(SUM(E28,F28)/(N28+0.1))/100</f>
        <v>392</v>
      </c>
      <c r="AD28" s="40">
        <f>(SUM(E28,F28)/(O28+0.1))/100</f>
        <v>392</v>
      </c>
    </row>
    <row r="29" ht="42.75">
      <c r="A29" s="35">
        <f>A28+1</f>
        <v>95</v>
      </c>
      <c r="B29" s="35" t="s">
        <v>138</v>
      </c>
      <c r="C29" s="12" t="s">
        <v>168</v>
      </c>
      <c r="D29" s="39" t="s">
        <v>131</v>
      </c>
      <c r="E29" s="12">
        <v>2547</v>
      </c>
      <c r="F29" s="39">
        <v>3516</v>
      </c>
      <c r="G29" s="12">
        <v>4.6</v>
      </c>
      <c r="H29" s="12">
        <v>4.3</v>
      </c>
      <c r="I29" s="40">
        <f>((G29*E29)+(H29*F29))/SUM(E29,F29)</f>
        <v>4.426026719445819</v>
      </c>
      <c r="J29" s="40">
        <v>1</v>
      </c>
      <c r="K29" s="40">
        <v>35</v>
      </c>
      <c r="L29" s="40">
        <v>0</v>
      </c>
      <c r="M29" s="12">
        <v>0</v>
      </c>
      <c r="N29" s="12">
        <v>0</v>
      </c>
      <c r="O29" s="40">
        <f>(L29*0.5)+(M29*0.4)+(N29*0.1)</f>
        <v>0</v>
      </c>
      <c r="P29" s="40">
        <v>428</v>
      </c>
      <c r="Q29" s="40">
        <f>ABS(G29-H29)</f>
        <v>0.2999999999999998</v>
      </c>
      <c r="R29" s="37">
        <f>ABS(G29-I29)</f>
        <v>0.17397328055418093</v>
      </c>
      <c r="S29" s="37">
        <f>ABS(H29-I29)</f>
        <v>0.1260267194458189</v>
      </c>
      <c r="T29" s="37">
        <f>SUM(E29,F29)/P29</f>
        <v>14.16588785046729</v>
      </c>
      <c r="U29" s="40">
        <f>LOG10(E29+F29)*I29</f>
        <v>16.74227624832349</v>
      </c>
      <c r="V29" s="40">
        <f>(L29/P29)*100</f>
        <v>0</v>
      </c>
      <c r="W29" s="37">
        <f>(M29/P29)*100</f>
        <v>0</v>
      </c>
      <c r="X29" s="37">
        <f>(N29/P29)*100</f>
        <v>0</v>
      </c>
      <c r="Y29" s="40">
        <f>(O29/P29)*100</f>
        <v>0</v>
      </c>
      <c r="Z29" s="40">
        <f>E29/F29</f>
        <v>0.7244027303754266</v>
      </c>
      <c r="AA29" s="40">
        <f>(SUM(E29,F29)/(L29+0.1))/100</f>
        <v>606.3</v>
      </c>
      <c r="AB29" s="40">
        <f>(SUM(E29,F29)/(M29+0.1))/100</f>
        <v>606.3</v>
      </c>
      <c r="AC29" s="40">
        <f>(SUM(E29,F29)/(N29+0.1))/100</f>
        <v>606.3</v>
      </c>
      <c r="AD29" s="40">
        <f>(SUM(E29,F29)/(O29+0.1))/100</f>
        <v>606.3</v>
      </c>
    </row>
    <row r="30" ht="57">
      <c r="A30" s="35">
        <f>A29+1</f>
        <v>96</v>
      </c>
      <c r="B30" s="35" t="s">
        <v>138</v>
      </c>
      <c r="C30" s="12" t="s">
        <v>169</v>
      </c>
      <c r="D30" s="40" t="s">
        <v>131</v>
      </c>
      <c r="E30" s="12">
        <v>2309</v>
      </c>
      <c r="F30" s="40">
        <v>504</v>
      </c>
      <c r="G30" s="12">
        <v>4.4</v>
      </c>
      <c r="H30" s="12">
        <v>4.5</v>
      </c>
      <c r="I30" s="40">
        <f>((G30*E30)+(H30*F30))/SUM(E30,F30)</f>
        <v>4.417916814788482</v>
      </c>
      <c r="J30" s="40">
        <v>1</v>
      </c>
      <c r="K30" s="40">
        <v>47</v>
      </c>
      <c r="L30" s="40">
        <v>0</v>
      </c>
      <c r="M30" s="12">
        <v>0</v>
      </c>
      <c r="N30" s="40">
        <v>0</v>
      </c>
      <c r="O30" s="40">
        <f>(L30*0.5)+(M30*0.4)+(N30*0.1)</f>
        <v>0</v>
      </c>
      <c r="P30" s="40">
        <v>1540</v>
      </c>
      <c r="Q30" s="40">
        <f>ABS(G30-H30)</f>
        <v>0.09999999999999964</v>
      </c>
      <c r="R30" s="37">
        <f>ABS(G30-I30)</f>
        <v>0.017916814788481616</v>
      </c>
      <c r="S30" s="37">
        <f>ABS(H30-I30)</f>
        <v>0.08208318521151803</v>
      </c>
      <c r="T30" s="37">
        <f>SUM(E30,F30)/P30</f>
        <v>1.8266233766233766</v>
      </c>
      <c r="U30" s="40">
        <f>LOG10(E30+F30)*I30</f>
        <v>15.238144956792125</v>
      </c>
      <c r="V30" s="40">
        <f>(L30/P30)*100</f>
        <v>0</v>
      </c>
      <c r="W30" s="37">
        <f>(M30/P30)*100</f>
        <v>0</v>
      </c>
      <c r="X30" s="37">
        <f>(N30/P30)*100</f>
        <v>0</v>
      </c>
      <c r="Y30" s="40">
        <f>(O30/P30)*100</f>
        <v>0</v>
      </c>
      <c r="Z30" s="40">
        <f>E30/F30</f>
        <v>4.5813492063492065</v>
      </c>
      <c r="AA30" s="40">
        <f>(SUM(E30,F30)/(L30+0.1))/100</f>
        <v>281.3</v>
      </c>
      <c r="AB30" s="40">
        <f>(SUM(E30,F30)/(M30+0.1))/100</f>
        <v>281.3</v>
      </c>
      <c r="AC30" s="40">
        <f>(SUM(E30,F30)/(N30+0.1))/100</f>
        <v>281.3</v>
      </c>
      <c r="AD30" s="40">
        <f>(SUM(E30,F30)/(O30+0.1))/100</f>
        <v>281.3</v>
      </c>
    </row>
    <row r="31" ht="42.75">
      <c r="A31" s="35">
        <f>A30+1</f>
        <v>97</v>
      </c>
      <c r="B31" s="35" t="s">
        <v>138</v>
      </c>
      <c r="C31" s="12" t="s">
        <v>170</v>
      </c>
      <c r="D31" s="40" t="s">
        <v>131</v>
      </c>
      <c r="E31" s="12">
        <v>1480</v>
      </c>
      <c r="F31" s="40">
        <v>35</v>
      </c>
      <c r="G31" s="12">
        <v>4.3</v>
      </c>
      <c r="H31" s="12">
        <v>3.5</v>
      </c>
      <c r="I31" s="40">
        <f>((G31*E31)+(H31*F31))/SUM(E31,F31)</f>
        <v>4.281518151815182</v>
      </c>
      <c r="J31" s="40">
        <v>1</v>
      </c>
      <c r="K31" s="40">
        <v>175</v>
      </c>
      <c r="L31" s="40">
        <v>150</v>
      </c>
      <c r="M31" s="12">
        <v>150</v>
      </c>
      <c r="N31" s="40">
        <v>0</v>
      </c>
      <c r="O31" s="40">
        <f>(L31*0.5)+(M31*0.4)+(N31*0.1)</f>
        <v>135</v>
      </c>
      <c r="P31" s="40">
        <v>3070</v>
      </c>
      <c r="Q31" s="40">
        <f>ABS(G31-H31)</f>
        <v>0.7999999999999998</v>
      </c>
      <c r="R31" s="37">
        <f>ABS(G31-I31)</f>
        <v>0.018481848184817906</v>
      </c>
      <c r="S31" s="37">
        <f>ABS(H31-I31)</f>
        <v>0.7815181518151819</v>
      </c>
      <c r="T31" s="37">
        <f>SUM(E31,F31)/P31</f>
        <v>0.49348534201954397</v>
      </c>
      <c r="U31" s="40">
        <f>LOG10(E31+F31)*I31</f>
        <v>13.616994417759598</v>
      </c>
      <c r="V31" s="40">
        <f>(L31/P31)*100</f>
        <v>4.88599348534202</v>
      </c>
      <c r="W31" s="37">
        <f>(M31/P31)*100</f>
        <v>4.88599348534202</v>
      </c>
      <c r="X31" s="37">
        <f>(N31/P31)*100</f>
        <v>0</v>
      </c>
      <c r="Y31" s="40">
        <f>(O31/P31)*100</f>
        <v>4.397394136807818</v>
      </c>
      <c r="Z31" s="40">
        <f>E31/F31</f>
        <v>42.285714285714285</v>
      </c>
      <c r="AA31" s="40">
        <f>(SUM(E31,F31)/(L31+0.1))/100</f>
        <v>0.10093271152564957</v>
      </c>
      <c r="AB31" s="40">
        <f>(SUM(E31,F31)/(M31+0.1))/100</f>
        <v>0.10093271152564957</v>
      </c>
      <c r="AC31" s="40">
        <f>(SUM(E31,F31)/(N31+0.1))/100</f>
        <v>151.5</v>
      </c>
      <c r="AD31" s="40">
        <f>(SUM(E31,F31)/(O31+0.1))/100</f>
        <v>0.11213915618060696</v>
      </c>
    </row>
    <row r="32" ht="30.75">
      <c r="A32" s="35">
        <f>A31+1</f>
        <v>98</v>
      </c>
      <c r="B32" s="35" t="s">
        <v>138</v>
      </c>
      <c r="C32" s="12" t="s">
        <v>171</v>
      </c>
      <c r="D32" s="40" t="s">
        <v>131</v>
      </c>
      <c r="E32" s="40">
        <v>2550</v>
      </c>
      <c r="F32" s="40">
        <v>1154</v>
      </c>
      <c r="G32" s="12">
        <v>4.1</v>
      </c>
      <c r="H32" s="12">
        <v>4</v>
      </c>
      <c r="I32" s="40">
        <f>((G32*E32)+(H32*F32))/SUM(E32,F32)</f>
        <v>4.068844492440605</v>
      </c>
      <c r="J32" s="40">
        <v>1</v>
      </c>
      <c r="K32" s="40">
        <v>102</v>
      </c>
      <c r="L32" s="40">
        <v>0</v>
      </c>
      <c r="M32" s="12">
        <v>25</v>
      </c>
      <c r="N32" s="40">
        <v>0</v>
      </c>
      <c r="O32" s="40">
        <f>(L32*0.5)+(M32*0.4)+(N32*0.1)</f>
        <v>10</v>
      </c>
      <c r="P32" s="40">
        <v>4460</v>
      </c>
      <c r="Q32" s="40">
        <f>ABS(G32-H32)</f>
        <v>0.09999999999999964</v>
      </c>
      <c r="R32" s="37">
        <f>ABS(G32-I32)</f>
        <v>0.031155507559394557</v>
      </c>
      <c r="S32" s="37">
        <f>ABS(H32-I32)</f>
        <v>0.06884449244060509</v>
      </c>
      <c r="T32" s="37">
        <f>SUM(E32,F32)/P32</f>
        <v>0.8304932735426009</v>
      </c>
      <c r="U32" s="40">
        <f>LOG10(E32+F32)*I32</f>
        <v>14.520367254208196</v>
      </c>
      <c r="V32" s="40">
        <f>(L32/P32)*100</f>
        <v>0</v>
      </c>
      <c r="W32" s="37">
        <f>(M32/P32)*100</f>
        <v>0.5605381165919282</v>
      </c>
      <c r="X32" s="37">
        <f>(N32/P32)*100</f>
        <v>0</v>
      </c>
      <c r="Y32" s="40">
        <f>(O32/P32)*100</f>
        <v>0.2242152466367713</v>
      </c>
      <c r="Z32" s="40">
        <f>E32/F32</f>
        <v>2.2097053726169844</v>
      </c>
      <c r="AA32" s="40">
        <f>(SUM(E32,F32)/(L32+0.1))/100</f>
        <v>370.4</v>
      </c>
      <c r="AB32" s="40">
        <f>(SUM(E32,F32)/(M32+0.1))/100</f>
        <v>1.4756972111553786</v>
      </c>
      <c r="AC32" s="40">
        <f>(SUM(E32,F32)/(N32+0.1))/100</f>
        <v>370.4</v>
      </c>
      <c r="AD32" s="40">
        <f>(SUM(E32,F32)/(O32+0.1))/100</f>
        <v>3.6673267326732675</v>
      </c>
    </row>
    <row r="33" ht="30.75">
      <c r="A33" s="35">
        <f>A32+1</f>
        <v>99</v>
      </c>
      <c r="B33" s="35" t="s">
        <v>138</v>
      </c>
      <c r="C33" s="12" t="s">
        <v>172</v>
      </c>
      <c r="D33" s="40" t="s">
        <v>131</v>
      </c>
      <c r="E33" s="12">
        <v>2705</v>
      </c>
      <c r="F33" s="40">
        <v>587</v>
      </c>
      <c r="G33" s="12">
        <v>3.9</v>
      </c>
      <c r="H33" s="12">
        <v>3.5</v>
      </c>
      <c r="I33" s="40">
        <f>((G33*E33)+(H33*F33))/SUM(E33,F33)</f>
        <v>3.828675577156744</v>
      </c>
      <c r="J33" s="40">
        <v>1</v>
      </c>
      <c r="K33" s="40">
        <v>155</v>
      </c>
      <c r="L33" s="40">
        <v>50</v>
      </c>
      <c r="M33" s="12">
        <v>233</v>
      </c>
      <c r="N33" s="40">
        <v>100</v>
      </c>
      <c r="O33" s="40">
        <f>(L33*0.5)+(M33*0.4)+(N33*0.1)</f>
        <v>128.2</v>
      </c>
      <c r="P33" s="40">
        <v>2650</v>
      </c>
      <c r="Q33" s="40">
        <f>ABS(G33-H33)</f>
        <v>0.3999999999999999</v>
      </c>
      <c r="R33" s="37">
        <f>ABS(G33-I33)</f>
        <v>0.07132442284325613</v>
      </c>
      <c r="S33" s="37">
        <f>ABS(H33-I33)</f>
        <v>0.3286755771567438</v>
      </c>
      <c r="T33" s="37">
        <f>SUM(E33,F33)/P33</f>
        <v>1.2422641509433963</v>
      </c>
      <c r="U33" s="40">
        <f>LOG10(E33+F33)*I33</f>
        <v>13.467212531504584</v>
      </c>
      <c r="V33" s="40">
        <f>(L33/P33)*100</f>
        <v>1.8867924528301887</v>
      </c>
      <c r="W33" s="37">
        <f>(M33/P33)*100</f>
        <v>8.79245283018868</v>
      </c>
      <c r="X33" s="37">
        <f>(N33/P33)*100</f>
        <v>3.7735849056603774</v>
      </c>
      <c r="Y33" s="40">
        <f>(O33/P33)*100</f>
        <v>4.837735849056603</v>
      </c>
      <c r="Z33" s="40">
        <f>E33/F33</f>
        <v>4.608177172061329</v>
      </c>
      <c r="AA33" s="40">
        <f>(SUM(E33,F33)/(L33+0.1))/100</f>
        <v>0.6570858283433134</v>
      </c>
      <c r="AB33" s="40">
        <f>(SUM(E33,F33)/(M33+0.1))/100</f>
        <v>0.14122694122694124</v>
      </c>
      <c r="AC33" s="40">
        <f>(SUM(E33,F33)/(N33+0.1))/100</f>
        <v>0.3288711288711289</v>
      </c>
      <c r="AD33" s="40">
        <f>(SUM(E33,F33)/(O33+0.1))/100</f>
        <v>0.2565861262665628</v>
      </c>
    </row>
    <row r="34" ht="44.25">
      <c r="A34" s="34">
        <f>A33+1</f>
        <v>100</v>
      </c>
      <c r="B34" s="34" t="s">
        <v>138</v>
      </c>
      <c r="C34" s="35" t="s">
        <v>173</v>
      </c>
      <c r="D34" s="35" t="s">
        <v>131</v>
      </c>
      <c r="E34" s="40">
        <v>3010</v>
      </c>
      <c r="F34" s="40">
        <v>931</v>
      </c>
      <c r="G34" s="40">
        <v>3.9</v>
      </c>
      <c r="H34" s="40">
        <v>3.7</v>
      </c>
      <c r="I34" s="40">
        <f>((G34*E34)+(H34*F34))/SUM(E34,F34)</f>
        <v>3.8527531083481352</v>
      </c>
      <c r="J34" s="40">
        <v>1</v>
      </c>
      <c r="K34" s="40">
        <v>135</v>
      </c>
      <c r="L34" s="40">
        <v>0</v>
      </c>
      <c r="M34" s="40">
        <v>0</v>
      </c>
      <c r="N34" s="40">
        <v>0</v>
      </c>
      <c r="O34" s="40">
        <f>(L34*0.5)+(M34*0.4)+(N34*0.1)</f>
        <v>0</v>
      </c>
      <c r="P34" s="40">
        <v>4550</v>
      </c>
      <c r="Q34" s="40">
        <f>ABS(G34-H34)</f>
        <v>0.19999999999999973</v>
      </c>
      <c r="R34" s="40">
        <f>ABS(G34-I34)</f>
        <v>0.047246891651864686</v>
      </c>
      <c r="S34" s="40">
        <f>ABS(H34-I34)</f>
        <v>0.15275310834813505</v>
      </c>
      <c r="T34" s="40">
        <f>SUM(E34,F34)/P34</f>
        <v>0.8661538461538462</v>
      </c>
      <c r="U34" s="40">
        <f>LOG10(E34+F34)*I34</f>
        <v>13.85298386832501</v>
      </c>
      <c r="V34" s="37">
        <f>(L34/P34)*100</f>
        <v>0</v>
      </c>
      <c r="W34" s="37">
        <f>(M34/P34)*100</f>
        <v>0</v>
      </c>
      <c r="X34" s="37">
        <f>(N34/P34)*100</f>
        <v>0</v>
      </c>
      <c r="Y34" s="40">
        <f>(O34/P34)*100</f>
        <v>0</v>
      </c>
      <c r="Z34" s="40">
        <f>E34/F34</f>
        <v>3.2330827067669174</v>
      </c>
      <c r="AA34" s="40">
        <f>(SUM(E34,F34)/(L34+0.1))/100</f>
        <v>394.1</v>
      </c>
      <c r="AB34" s="40">
        <f>(SUM(E34,F34)/(M34+0.1))/100</f>
        <v>394.1</v>
      </c>
      <c r="AC34" s="40">
        <f>(SUM(E34,F34)/(N34+0.1))/100</f>
        <v>394.1</v>
      </c>
      <c r="AD34" s="40">
        <f>(SUM(E34,F34)/(O34+0.1))/100</f>
        <v>394.1</v>
      </c>
    </row>
    <row r="35" ht="44.25">
      <c r="A35" s="34">
        <f>A34+1</f>
        <v>101</v>
      </c>
      <c r="B35" s="34" t="s">
        <v>138</v>
      </c>
      <c r="C35" s="35" t="s">
        <v>174</v>
      </c>
      <c r="D35" s="35" t="s">
        <v>131</v>
      </c>
      <c r="E35" s="40">
        <v>1683</v>
      </c>
      <c r="F35" s="40">
        <v>483</v>
      </c>
      <c r="G35" s="40">
        <v>4.1</v>
      </c>
      <c r="H35" s="40">
        <v>3.5</v>
      </c>
      <c r="I35" s="40">
        <f>((G35*E35)+(H35*F35))/SUM(E35,F35)</f>
        <v>3.966204986149584</v>
      </c>
      <c r="J35" s="40">
        <v>1</v>
      </c>
      <c r="K35" s="40">
        <v>146</v>
      </c>
      <c r="L35" s="40">
        <v>0</v>
      </c>
      <c r="M35" s="40">
        <v>0</v>
      </c>
      <c r="N35" s="40">
        <v>0</v>
      </c>
      <c r="O35" s="40">
        <f>(L35*0.5)+(M35*0.4)+(N35*0.1)</f>
        <v>0</v>
      </c>
      <c r="P35" s="40">
        <v>4800</v>
      </c>
      <c r="Q35" s="40">
        <f>ABS(G35-H35)</f>
        <v>0.5999999999999996</v>
      </c>
      <c r="R35" s="40">
        <f>ABS(G35-I35)</f>
        <v>0.1337950138504156</v>
      </c>
      <c r="S35" s="40">
        <f>ABS(H35-I35)</f>
        <v>0.46620498614958406</v>
      </c>
      <c r="T35" s="40">
        <f>SUM(E35,F35)/P35</f>
        <v>0.45125</v>
      </c>
      <c r="U35" s="40">
        <f>LOG10(E35+F35)*I35</f>
        <v>13.229905185561833</v>
      </c>
      <c r="V35" s="37">
        <f>(L35/P35)*100</f>
        <v>0</v>
      </c>
      <c r="W35" s="37">
        <f>(M35/P35)*100</f>
        <v>0</v>
      </c>
      <c r="X35" s="37">
        <f>(N35/P35)*100</f>
        <v>0</v>
      </c>
      <c r="Y35" s="40">
        <f>(O35/P35)*100</f>
        <v>0</v>
      </c>
      <c r="Z35" s="40">
        <f>E35/F35</f>
        <v>3.484472049689441</v>
      </c>
      <c r="AA35" s="40">
        <f>(SUM(E35,F35)/(L35+0.1))/100</f>
        <v>216.6</v>
      </c>
      <c r="AB35" s="40">
        <f>(SUM(E35,F35)/(M35+0.1))/100</f>
        <v>216.6</v>
      </c>
      <c r="AC35" s="40">
        <f>(SUM(E35,F35)/(N35+0.1))/100</f>
        <v>216.6</v>
      </c>
      <c r="AD35" s="40">
        <f>(SUM(E35,F35)/(O35+0.1))/100</f>
        <v>216.6</v>
      </c>
    </row>
    <row r="36" ht="44.25">
      <c r="A36" s="34">
        <f>A35+1</f>
        <v>102</v>
      </c>
      <c r="B36" s="34" t="s">
        <v>138</v>
      </c>
      <c r="C36" s="35" t="s">
        <v>175</v>
      </c>
      <c r="D36" s="35" t="s">
        <v>131</v>
      </c>
      <c r="E36" s="40">
        <v>11263</v>
      </c>
      <c r="F36" s="40">
        <v>5772</v>
      </c>
      <c r="G36" s="40">
        <v>4.3</v>
      </c>
      <c r="H36" s="40">
        <v>3.9</v>
      </c>
      <c r="I36" s="40">
        <f>((G36*E36)+(H36*F36))/SUM(E36,F36)</f>
        <v>4.164467273260933</v>
      </c>
      <c r="J36" s="40">
        <v>1</v>
      </c>
      <c r="K36" s="40">
        <v>115</v>
      </c>
      <c r="L36" s="40">
        <v>200</v>
      </c>
      <c r="M36" s="40">
        <v>125</v>
      </c>
      <c r="N36" s="40">
        <v>100</v>
      </c>
      <c r="O36" s="40">
        <f>(L36*0.5)+(M36*0.4)+(N36*0.1)</f>
        <v>160</v>
      </c>
      <c r="P36" s="40">
        <v>3730</v>
      </c>
      <c r="Q36" s="40">
        <f>ABS(G36-H36)</f>
        <v>0.3999999999999999</v>
      </c>
      <c r="R36" s="40">
        <f>ABS(G36-I36)</f>
        <v>0.1355327267390667</v>
      </c>
      <c r="S36" s="40">
        <f>ABS(H36-I36)</f>
        <v>0.2644672732609332</v>
      </c>
      <c r="T36" s="40">
        <f>SUM(E36,F36)/P36</f>
        <v>4.567024128686327</v>
      </c>
      <c r="U36" s="40">
        <f>LOG10(E36+F36)*I36</f>
        <v>17.621285855270724</v>
      </c>
      <c r="V36" s="37">
        <f>(L36/P36)*100</f>
        <v>5.361930294906166</v>
      </c>
      <c r="W36" s="37">
        <f>(M36/P36)*100</f>
        <v>3.351206434316354</v>
      </c>
      <c r="X36" s="37">
        <f>(N36/P36)*100</f>
        <v>2.680965147453083</v>
      </c>
      <c r="Y36" s="40">
        <f>(O36/P36)*100</f>
        <v>4.289544235924933</v>
      </c>
      <c r="Z36" s="40">
        <f>E36/F36</f>
        <v>1.9513167013167012</v>
      </c>
      <c r="AA36" s="40">
        <f>(SUM(E36,F36)/(L36+0.1))/100</f>
        <v>0.8513243378310845</v>
      </c>
      <c r="AB36" s="40">
        <f>(SUM(E36,F36)/(M36+0.1))/100</f>
        <v>1.3617106314948044</v>
      </c>
      <c r="AC36" s="40">
        <f>(SUM(E36,F36)/(N36+0.1))/100</f>
        <v>1.7017982017982018</v>
      </c>
      <c r="AD36" s="40">
        <f>(SUM(E36,F36)/(O36+0.1))/100</f>
        <v>1.0640224859462837</v>
      </c>
    </row>
    <row r="37" ht="57.75">
      <c r="A37" s="34">
        <f>A36+1</f>
        <v>103</v>
      </c>
      <c r="B37" s="34" t="s">
        <v>138</v>
      </c>
      <c r="C37" s="35" t="s">
        <v>176</v>
      </c>
      <c r="D37" s="35" t="s">
        <v>131</v>
      </c>
      <c r="E37" s="40">
        <v>2169</v>
      </c>
      <c r="F37" s="40">
        <v>150</v>
      </c>
      <c r="G37" s="40">
        <v>4</v>
      </c>
      <c r="H37" s="40">
        <v>4</v>
      </c>
      <c r="I37" s="40">
        <f>((G37*E37)+(H37*F37))/SUM(E37,F37)</f>
        <v>4</v>
      </c>
      <c r="J37" s="40">
        <v>1</v>
      </c>
      <c r="K37" s="40">
        <v>136</v>
      </c>
      <c r="L37" s="40">
        <v>150</v>
      </c>
      <c r="M37" s="40">
        <v>0</v>
      </c>
      <c r="N37" s="40">
        <v>100</v>
      </c>
      <c r="O37" s="40">
        <f>(L37*0.5)+(M37*0.4)+(N37*0.1)</f>
        <v>85</v>
      </c>
      <c r="P37" s="40">
        <v>2120</v>
      </c>
      <c r="Q37" s="40">
        <f>ABS(G37-H37)</f>
        <v>0</v>
      </c>
      <c r="R37" s="40">
        <f>ABS(G37-I37)</f>
        <v>0</v>
      </c>
      <c r="S37" s="40">
        <f>ABS(H37-I37)</f>
        <v>0</v>
      </c>
      <c r="T37" s="40">
        <f>SUM(E37,F37)/P37</f>
        <v>1.0938679245283018</v>
      </c>
      <c r="U37" s="40">
        <f>LOG10(E37+F37)*I37</f>
        <v>13.46120299455195</v>
      </c>
      <c r="V37" s="37">
        <f>(L37/P37)*100</f>
        <v>7.0754716981132075</v>
      </c>
      <c r="W37" s="37">
        <f>(M37/P37)*100</f>
        <v>0</v>
      </c>
      <c r="X37" s="37">
        <f>(N37/P37)*100</f>
        <v>4.716981132075472</v>
      </c>
      <c r="Y37" s="40">
        <f>(O37/P37)*100</f>
        <v>4.009433962264151</v>
      </c>
      <c r="Z37" s="40">
        <f>E37/F37</f>
        <v>14.46</v>
      </c>
      <c r="AA37" s="40">
        <f>(SUM(E37,F37)/(L37+0.1))/100</f>
        <v>0.15449700199866756</v>
      </c>
      <c r="AB37" s="40">
        <f>(SUM(E37,F37)/(M37+0.1))/100</f>
        <v>231.9</v>
      </c>
      <c r="AC37" s="40">
        <f>(SUM(E37,F37)/(N37+0.1))/100</f>
        <v>0.23166833166833167</v>
      </c>
      <c r="AD37" s="40">
        <f>(SUM(E37,F37)/(O37+0.1))/100</f>
        <v>0.272502937720329</v>
      </c>
    </row>
    <row r="38" ht="44.25">
      <c r="A38" s="34">
        <f>A37+1</f>
        <v>104</v>
      </c>
      <c r="B38" s="34" t="s">
        <v>138</v>
      </c>
      <c r="C38" s="35" t="s">
        <v>177</v>
      </c>
      <c r="D38" s="35" t="s">
        <v>131</v>
      </c>
      <c r="E38" s="40">
        <v>1590</v>
      </c>
      <c r="F38" s="40">
        <v>421</v>
      </c>
      <c r="G38" s="40">
        <v>4.3</v>
      </c>
      <c r="H38" s="40">
        <v>4</v>
      </c>
      <c r="I38" s="40">
        <f>((G38*E38)+(H38*F38))/SUM(E38,F38)</f>
        <v>4.2371954251616115</v>
      </c>
      <c r="J38" s="40">
        <v>1</v>
      </c>
      <c r="K38" s="40">
        <v>107</v>
      </c>
      <c r="L38" s="40">
        <v>50</v>
      </c>
      <c r="M38" s="40">
        <v>25</v>
      </c>
      <c r="N38" s="40">
        <v>0</v>
      </c>
      <c r="O38" s="40">
        <f>(L38*0.5)+(M38*0.4)+(N38*0.1)</f>
        <v>35</v>
      </c>
      <c r="P38" s="40">
        <v>6980</v>
      </c>
      <c r="Q38" s="40">
        <f>ABS(G38-H38)</f>
        <v>0.2999999999999998</v>
      </c>
      <c r="R38" s="40">
        <f>ABS(G38-I38)</f>
        <v>0.0628045748383883</v>
      </c>
      <c r="S38" s="40">
        <f>ABS(H38-I38)</f>
        <v>0.23719542516161152</v>
      </c>
      <c r="T38" s="40">
        <f>SUM(E38,F38)/P38</f>
        <v>0.28810888252149</v>
      </c>
      <c r="U38" s="40">
        <f>LOG10(E38+F38)*I38</f>
        <v>13.997202512956163</v>
      </c>
      <c r="V38" s="37">
        <f>(L38/P38)*100</f>
        <v>0.7163323782234957</v>
      </c>
      <c r="W38" s="37">
        <f>(M38/P38)*100</f>
        <v>0.35816618911174786</v>
      </c>
      <c r="X38" s="37">
        <f>(N38/P38)*100</f>
        <v>0</v>
      </c>
      <c r="Y38" s="40">
        <f>(O38/P38)*100</f>
        <v>0.501432664756447</v>
      </c>
      <c r="Z38" s="40">
        <f>E38/F38</f>
        <v>3.776722090261283</v>
      </c>
      <c r="AA38" s="40">
        <f>(SUM(E38,F38)/(L38+0.1))/100</f>
        <v>0.4013972055888223</v>
      </c>
      <c r="AB38" s="40">
        <f>(SUM(E38,F38)/(M38+0.1))/100</f>
        <v>0.8011952191235059</v>
      </c>
      <c r="AC38" s="40">
        <f>(SUM(E38,F38)/(N38+0.1))/100</f>
        <v>201.1</v>
      </c>
      <c r="AD38" s="40">
        <f>(SUM(E38,F38)/(O38+0.1))/100</f>
        <v>0.572934472934473</v>
      </c>
    </row>
    <row r="39" ht="44.25">
      <c r="A39" s="34">
        <f>A38+1</f>
        <v>105</v>
      </c>
      <c r="B39" s="34" t="s">
        <v>138</v>
      </c>
      <c r="C39" s="35" t="s">
        <v>178</v>
      </c>
      <c r="D39" s="35" t="s">
        <v>131</v>
      </c>
      <c r="E39" s="40">
        <v>5588</v>
      </c>
      <c r="F39" s="40">
        <v>3529</v>
      </c>
      <c r="G39" s="40">
        <v>4.5</v>
      </c>
      <c r="H39" s="40">
        <v>4.4</v>
      </c>
      <c r="I39" s="40">
        <f>((G39*E39)+(H39*F39))/SUM(E39,F39)</f>
        <v>4.46129209169683</v>
      </c>
      <c r="J39" s="40">
        <v>1</v>
      </c>
      <c r="K39" s="40">
        <v>31</v>
      </c>
      <c r="L39" s="40">
        <v>0</v>
      </c>
      <c r="M39" s="40">
        <v>91</v>
      </c>
      <c r="N39" s="40">
        <v>0</v>
      </c>
      <c r="O39" s="40">
        <f>(L39*0.5)+(M39*0.4)+(N39*0.1)</f>
        <v>36.4</v>
      </c>
      <c r="P39" s="40">
        <v>1910</v>
      </c>
      <c r="Q39" s="40">
        <f>ABS(G39-H39)</f>
        <v>0.09999999999999964</v>
      </c>
      <c r="R39" s="40">
        <f>ABS(G39-I39)</f>
        <v>0.03870790830317006</v>
      </c>
      <c r="S39" s="40">
        <f>ABS(H39-I39)</f>
        <v>0.06129209169682959</v>
      </c>
      <c r="T39" s="40">
        <f>SUM(E39,F39)/P39</f>
        <v>4.773298429319372</v>
      </c>
      <c r="U39" s="40">
        <f>LOG10(E39+F39)*I39</f>
        <v>17.666056210237713</v>
      </c>
      <c r="V39" s="37">
        <f>(L39/P39)*100</f>
        <v>0</v>
      </c>
      <c r="W39" s="37">
        <f>(M39/P39)*100</f>
        <v>4.7643979057591626</v>
      </c>
      <c r="X39" s="37">
        <f>(N39/P39)*100</f>
        <v>0</v>
      </c>
      <c r="Y39" s="40">
        <f>(O39/P39)*100</f>
        <v>1.905759162303665</v>
      </c>
      <c r="Z39" s="40">
        <f>E39/F39</f>
        <v>1.5834514026636441</v>
      </c>
      <c r="AA39" s="40">
        <f>(SUM(E39,F39)/(L39+0.1))/100</f>
        <v>911.7</v>
      </c>
      <c r="AB39" s="40">
        <f>(SUM(E39,F39)/(M39+0.1))/100</f>
        <v>1.0007683863885841</v>
      </c>
      <c r="AC39" s="40">
        <f>(SUM(E39,F39)/(N39+0.1))/100</f>
        <v>911.7</v>
      </c>
      <c r="AD39" s="40">
        <f>(SUM(E39,F39)/(O39+0.1))/100</f>
        <v>2.4978082191780824</v>
      </c>
    </row>
    <row r="40" ht="57">
      <c r="A40" s="34">
        <f>A39+1</f>
        <v>106</v>
      </c>
      <c r="B40" s="34" t="s">
        <v>138</v>
      </c>
      <c r="C40" s="35" t="s">
        <v>179</v>
      </c>
      <c r="D40" s="35" t="s">
        <v>131</v>
      </c>
      <c r="E40" s="40">
        <v>5811</v>
      </c>
      <c r="F40" s="40">
        <v>1801</v>
      </c>
      <c r="G40" s="40">
        <v>4.1</v>
      </c>
      <c r="H40" s="40">
        <v>3.5</v>
      </c>
      <c r="I40" s="40">
        <f>((G40*E40)+(H40*F40))/SUM(E40,F40)</f>
        <v>3.9580399369416708</v>
      </c>
      <c r="J40" s="40">
        <v>0</v>
      </c>
      <c r="K40" s="40">
        <v>0</v>
      </c>
      <c r="L40" s="40">
        <v>0</v>
      </c>
      <c r="M40" s="40">
        <v>25</v>
      </c>
      <c r="N40" s="40">
        <v>0</v>
      </c>
      <c r="O40" s="40">
        <f>(L40*0.5)+(M40*0.4)+(N40*0.1)</f>
        <v>10</v>
      </c>
      <c r="P40" s="40">
        <v>4000</v>
      </c>
      <c r="Q40" s="40">
        <f>ABS(G40-H40)</f>
        <v>0.5999999999999996</v>
      </c>
      <c r="R40" s="40">
        <f>ABS(G40-I40)</f>
        <v>0.14196006305832887</v>
      </c>
      <c r="S40" s="40">
        <f>ABS(H40-I40)</f>
        <v>0.4580399369416708</v>
      </c>
      <c r="T40" s="40">
        <f>SUM(E40,F40)/P40</f>
        <v>1.903</v>
      </c>
      <c r="U40" s="40">
        <f>LOG10(E40+F40)*I40</f>
        <v>15.363127184906459</v>
      </c>
      <c r="V40" s="37">
        <f>(L40/P40)*100</f>
        <v>0</v>
      </c>
      <c r="W40" s="37">
        <f>(M40/P40)*100</f>
        <v>0.625</v>
      </c>
      <c r="X40" s="37">
        <f>(N40/P40)*100</f>
        <v>0</v>
      </c>
      <c r="Y40" s="40">
        <f>(O40/P40)*100</f>
        <v>0.25</v>
      </c>
      <c r="Z40" s="40">
        <f>E40/F40</f>
        <v>3.226540810660744</v>
      </c>
      <c r="AA40" s="40">
        <f>(SUM(E40,F40)/(L40+0.1))/100</f>
        <v>761.2</v>
      </c>
      <c r="AB40" s="40">
        <f>(SUM(E40,F40)/(M40+0.1))/100</f>
        <v>3.032669322709163</v>
      </c>
      <c r="AC40" s="40">
        <f>(SUM(E40,F40)/(N40+0.1))/100</f>
        <v>761.2</v>
      </c>
      <c r="AD40" s="40">
        <f>(SUM(E40,F40)/(O40+0.1))/100</f>
        <v>7.536633663366336</v>
      </c>
    </row>
    <row r="41" ht="30.75">
      <c r="A41" s="34">
        <f>A40+1</f>
        <v>107</v>
      </c>
      <c r="B41" s="34" t="s">
        <v>138</v>
      </c>
      <c r="C41" s="35" t="s">
        <v>180</v>
      </c>
      <c r="D41" s="35" t="s">
        <v>131</v>
      </c>
      <c r="E41" s="40">
        <v>2763</v>
      </c>
      <c r="F41" s="40">
        <v>631</v>
      </c>
      <c r="G41" s="40">
        <v>4.1</v>
      </c>
      <c r="H41" s="40">
        <v>3.8</v>
      </c>
      <c r="I41" s="40">
        <f>((G41*E41)+(H41*F41))/SUM(E41,F41)</f>
        <v>4.044225103123158</v>
      </c>
      <c r="J41" s="40">
        <v>1</v>
      </c>
      <c r="K41" s="40">
        <v>121</v>
      </c>
      <c r="L41" s="40">
        <v>100</v>
      </c>
      <c r="M41" s="40">
        <v>100</v>
      </c>
      <c r="N41" s="40">
        <v>100</v>
      </c>
      <c r="O41" s="40">
        <f>(L41*0.5)+(M41*0.4)+(N41*0.1)</f>
        <v>100</v>
      </c>
      <c r="P41" s="40">
        <v>5920</v>
      </c>
      <c r="Q41" s="40">
        <f>ABS(G41-H41)</f>
        <v>0.2999999999999998</v>
      </c>
      <c r="R41" s="40">
        <f>ABS(G41-I41)</f>
        <v>0.05577489687684167</v>
      </c>
      <c r="S41" s="40">
        <f>ABS(H41-I41)</f>
        <v>0.24422510312315815</v>
      </c>
      <c r="T41" s="40">
        <f>SUM(E41,F41)/P41</f>
        <v>0.5733108108108108</v>
      </c>
      <c r="U41" s="40">
        <f>LOG10(E41+F41)*I41</f>
        <v>14.278993447059522</v>
      </c>
      <c r="V41" s="37">
        <f>(L41/P41)*100</f>
        <v>1.6891891891891893</v>
      </c>
      <c r="W41" s="37">
        <f>(M41/P41)*100</f>
        <v>1.6891891891891893</v>
      </c>
      <c r="X41" s="37">
        <f>(N41/P41)*100</f>
        <v>1.6891891891891893</v>
      </c>
      <c r="Y41" s="40">
        <f>(O41/P41)*100</f>
        <v>1.6891891891891893</v>
      </c>
      <c r="Z41" s="40">
        <f>E41/F41</f>
        <v>4.378763866877971</v>
      </c>
      <c r="AA41" s="40">
        <f>(SUM(E41,F41)/(L41+0.1))/100</f>
        <v>0.3390609390609391</v>
      </c>
      <c r="AB41" s="40">
        <f>(SUM(E41,F41)/(M41+0.1))/100</f>
        <v>0.3390609390609391</v>
      </c>
      <c r="AC41" s="40">
        <f>(SUM(E41,F41)/(N41+0.1))/100</f>
        <v>0.3390609390609391</v>
      </c>
      <c r="AD41" s="40">
        <f>(SUM(E41,F41)/(O41+0.1))/100</f>
        <v>0.3390609390609391</v>
      </c>
    </row>
    <row r="42" ht="30.75">
      <c r="A42" s="34">
        <f>A41+1</f>
        <v>108</v>
      </c>
      <c r="B42" s="34" t="s">
        <v>138</v>
      </c>
      <c r="C42" s="35" t="s">
        <v>181</v>
      </c>
      <c r="D42" s="35" t="s">
        <v>131</v>
      </c>
      <c r="E42" s="40">
        <v>8352</v>
      </c>
      <c r="F42" s="40">
        <v>3195</v>
      </c>
      <c r="G42" s="40">
        <v>3.9</v>
      </c>
      <c r="H42" s="40">
        <v>3.5</v>
      </c>
      <c r="I42" s="40">
        <f>((G42*E42)+(H42*F42))/SUM(E42,F42)</f>
        <v>3.7893219017926736</v>
      </c>
      <c r="J42" s="40">
        <v>1</v>
      </c>
      <c r="K42" s="40">
        <v>178</v>
      </c>
      <c r="L42" s="40">
        <v>150</v>
      </c>
      <c r="M42" s="40">
        <v>170</v>
      </c>
      <c r="N42" s="40">
        <v>200</v>
      </c>
      <c r="O42" s="40">
        <f>(L42*0.5)+(M42*0.4)+(N42*0.1)</f>
        <v>163</v>
      </c>
      <c r="P42" s="40">
        <v>1970</v>
      </c>
      <c r="Q42" s="40">
        <f>ABS(G42-H42)</f>
        <v>0.3999999999999999</v>
      </c>
      <c r="R42" s="40">
        <f>ABS(G42-I42)</f>
        <v>0.11067809820732633</v>
      </c>
      <c r="S42" s="40">
        <f>ABS(H42-I42)</f>
        <v>0.2893219017926736</v>
      </c>
      <c r="T42" s="40">
        <f>SUM(E42,F42)/P42</f>
        <v>5.861421319796954</v>
      </c>
      <c r="U42" s="40">
        <f>LOG10(E42+F42)*I42</f>
        <v>15.394003385377362</v>
      </c>
      <c r="V42" s="37">
        <f>(L42/P42)*100</f>
        <v>7.614213197969544</v>
      </c>
      <c r="W42" s="37">
        <f>(M42/P42)*100</f>
        <v>8.629441624365482</v>
      </c>
      <c r="X42" s="37">
        <f>(N42/P42)*100</f>
        <v>10.152284263959391</v>
      </c>
      <c r="Y42" s="40">
        <f>(O42/P42)*100</f>
        <v>8.274111675126903</v>
      </c>
      <c r="Z42" s="40">
        <f>E42/F42</f>
        <v>2.6140845070422536</v>
      </c>
      <c r="AA42" s="40">
        <f>(SUM(E42,F42)/(L42+0.1))/100</f>
        <v>0.7692871419053964</v>
      </c>
      <c r="AB42" s="40">
        <f>(SUM(E42,F42)/(M42+0.1))/100</f>
        <v>0.6788359788359789</v>
      </c>
      <c r="AC42" s="40">
        <f>(SUM(E42,F42)/(N42+0.1))/100</f>
        <v>0.5770614692653673</v>
      </c>
      <c r="AD42" s="40">
        <f>(SUM(E42,F42)/(O42+0.1))/100</f>
        <v>0.7079705702023298</v>
      </c>
    </row>
    <row r="43" ht="44.25">
      <c r="A43" s="34">
        <f>A42+1</f>
        <v>109</v>
      </c>
      <c r="B43" s="34" t="s">
        <v>138</v>
      </c>
      <c r="C43" s="35" t="s">
        <v>182</v>
      </c>
      <c r="D43" s="35" t="s">
        <v>131</v>
      </c>
      <c r="E43" s="40">
        <v>1778</v>
      </c>
      <c r="F43" s="40">
        <v>410</v>
      </c>
      <c r="G43" s="40">
        <v>3.7</v>
      </c>
      <c r="H43" s="40">
        <v>3.3</v>
      </c>
      <c r="I43" s="40">
        <f>((G43*E43)+(H43*F43))/SUM(E43,F43)</f>
        <v>3.6250457038391226</v>
      </c>
      <c r="J43" s="40">
        <v>0</v>
      </c>
      <c r="K43" s="40">
        <v>0</v>
      </c>
      <c r="L43" s="40">
        <v>0</v>
      </c>
      <c r="M43" s="40">
        <v>0</v>
      </c>
      <c r="N43" s="40">
        <v>0</v>
      </c>
      <c r="O43" s="40">
        <f>(L43*0.5)+(M43*0.4)+(N43*0.1)</f>
        <v>0</v>
      </c>
      <c r="P43" s="40">
        <v>6730</v>
      </c>
      <c r="Q43" s="40">
        <f>ABS(G43-H43)</f>
        <v>0.40000000000000036</v>
      </c>
      <c r="R43" s="40">
        <f>ABS(G43-I43)</f>
        <v>0.07495429616087756</v>
      </c>
      <c r="S43" s="40">
        <f>ABS(H43-I43)</f>
        <v>0.3250457038391228</v>
      </c>
      <c r="T43" s="40">
        <f>SUM(E43,G43)/P43</f>
        <v>0.264739970282318</v>
      </c>
      <c r="U43" s="40">
        <f>LOG10(E43+F43)*I43</f>
        <v>12.107824179507817</v>
      </c>
      <c r="V43" s="37">
        <f>(L43/P43)*100</f>
        <v>0</v>
      </c>
      <c r="W43" s="37">
        <f>(M43/P43)*100</f>
        <v>0</v>
      </c>
      <c r="X43" s="37">
        <f>(N43/P43)*100</f>
        <v>0</v>
      </c>
      <c r="Y43" s="40">
        <f>(O43/P43)*100</f>
        <v>0</v>
      </c>
      <c r="Z43" s="40">
        <f>E43/G43</f>
        <v>480.5405405405405</v>
      </c>
      <c r="AA43" s="40">
        <f>(SUM(E43,F43)/(L43+0.1))/100</f>
        <v>218.8</v>
      </c>
      <c r="AB43" s="40">
        <f>(SUM(E43,F43)/(M43+0.1))/100</f>
        <v>218.8</v>
      </c>
      <c r="AC43" s="40">
        <f>(SUM(E43,F43)/(N43+0.1))/100</f>
        <v>218.8</v>
      </c>
      <c r="AD43" s="40">
        <f>(SUM(E43,G43)/(O43+0.1))/100</f>
        <v>178.17</v>
      </c>
    </row>
    <row r="44" ht="57">
      <c r="A44" s="34">
        <f>A43+1</f>
        <v>110</v>
      </c>
      <c r="B44" s="34" t="s">
        <v>138</v>
      </c>
      <c r="C44" s="35" t="s">
        <v>183</v>
      </c>
      <c r="D44" s="35" t="s">
        <v>131</v>
      </c>
      <c r="E44" s="40">
        <v>7310</v>
      </c>
      <c r="F44" s="40">
        <v>5670</v>
      </c>
      <c r="G44" s="40">
        <v>4.5</v>
      </c>
      <c r="H44" s="40">
        <v>4.3</v>
      </c>
      <c r="I44" s="40">
        <f>((G44*E44)+(H44*F44))/SUM(E44,F44)</f>
        <v>4.412634822804314</v>
      </c>
      <c r="J44" s="40">
        <v>1</v>
      </c>
      <c r="K44" s="40">
        <v>65</v>
      </c>
      <c r="L44" s="40">
        <v>33</v>
      </c>
      <c r="M44" s="40">
        <v>191</v>
      </c>
      <c r="N44" s="40">
        <v>100</v>
      </c>
      <c r="O44" s="40">
        <f>(L44*0.5)+(M44*0.4)+(N44*0.1)</f>
        <v>102.9</v>
      </c>
      <c r="P44" s="40">
        <v>2680</v>
      </c>
      <c r="Q44" s="40">
        <f>ABS(G44-H44)</f>
        <v>0.20000000000000018</v>
      </c>
      <c r="R44" s="40">
        <f>ABS(G44-I44)</f>
        <v>0.08736517719568582</v>
      </c>
      <c r="S44" s="40">
        <f>ABS(H44-I44)</f>
        <v>0.11263482280431436</v>
      </c>
      <c r="T44" s="40">
        <f>SUM(E44,G44)/P44</f>
        <v>2.7292910447761196</v>
      </c>
      <c r="U44" s="40">
        <f>LOG10(E44+F44)*I44</f>
        <v>18.1503791437279</v>
      </c>
      <c r="V44" s="37">
        <f>(L44/P44)*100</f>
        <v>1.2313432835820897</v>
      </c>
      <c r="W44" s="37">
        <f>(M44/P44)*100</f>
        <v>7.1268656716417915</v>
      </c>
      <c r="X44" s="37">
        <f>(N44/P44)*100</f>
        <v>3.731343283582089</v>
      </c>
      <c r="Y44" s="40">
        <f>(O44/P44)*100</f>
        <v>3.8395522388059704</v>
      </c>
      <c r="Z44" s="40">
        <f>E44/G44</f>
        <v>1624.4444444444443</v>
      </c>
      <c r="AA44" s="40">
        <f>(SUM(E44,F44)/(L44+0.1))/100</f>
        <v>3.921450151057402</v>
      </c>
      <c r="AB44" s="40">
        <f>(SUM(E44,F44)/(M44+0.1))/100</f>
        <v>0.6792255363683936</v>
      </c>
      <c r="AC44" s="40">
        <f>(SUM(E44,F44)/(N44+0.1))/100</f>
        <v>1.2967032967032965</v>
      </c>
      <c r="AD44" s="40">
        <f>(SUM(E44,G44)/(O44+0.1))/100</f>
        <v>0.7101456310679611</v>
      </c>
    </row>
    <row r="45" ht="44.25">
      <c r="A45" s="34">
        <f>A44+1</f>
        <v>111</v>
      </c>
      <c r="B45" s="34" t="s">
        <v>138</v>
      </c>
      <c r="C45" s="35" t="s">
        <v>184</v>
      </c>
      <c r="D45" s="35" t="s">
        <v>131</v>
      </c>
      <c r="E45" s="40">
        <v>3281</v>
      </c>
      <c r="F45" s="40">
        <v>2947</v>
      </c>
      <c r="G45" s="40">
        <v>4.4</v>
      </c>
      <c r="H45" s="40">
        <v>4.3</v>
      </c>
      <c r="I45" s="40">
        <f>((G45*E45)+(H45*F45))/SUM(E45,F45)</f>
        <v>4.3526814386640975</v>
      </c>
      <c r="J45" s="40">
        <v>0</v>
      </c>
      <c r="K45" s="40">
        <v>0</v>
      </c>
      <c r="L45" s="40">
        <v>0</v>
      </c>
      <c r="M45" s="40">
        <v>25</v>
      </c>
      <c r="N45" s="40">
        <v>0</v>
      </c>
      <c r="O45" s="40">
        <f>(L45*0.5)+(M45*0.4)+(N45*0.1)</f>
        <v>10</v>
      </c>
      <c r="P45" s="40">
        <v>4940</v>
      </c>
      <c r="Q45" s="40">
        <f>ABS(G45-H45)</f>
        <v>0.10000000000000053</v>
      </c>
      <c r="R45" s="40">
        <f>ABS(G45-I45)</f>
        <v>0.04731856133590284</v>
      </c>
      <c r="S45" s="40">
        <f>ABS(H45-I45)</f>
        <v>0.05268143866409769</v>
      </c>
      <c r="T45" s="40">
        <f>SUM(E45,G45)/P45</f>
        <v>0.6650607287449393</v>
      </c>
      <c r="U45" s="40">
        <f>LOG10(E45+F45)*I45</f>
        <v>16.51559073999951</v>
      </c>
      <c r="V45" s="37">
        <f>(L45/P45)*100</f>
        <v>0</v>
      </c>
      <c r="W45" s="37">
        <f>(M45/P45)*100</f>
        <v>0.5060728744939271</v>
      </c>
      <c r="X45" s="37">
        <f>(N45/P45)*100</f>
        <v>0</v>
      </c>
      <c r="Y45" s="40">
        <f>(O45/P45)*100</f>
        <v>0.20242914979757085</v>
      </c>
      <c r="Z45" s="40">
        <f>E45/G45</f>
        <v>745.6818181818181</v>
      </c>
      <c r="AA45" s="40">
        <f>(SUM(E45,F45)/(L45+0.1))/100</f>
        <v>622.8</v>
      </c>
      <c r="AB45" s="40">
        <f>(SUM(E45,F45)/(M45+0.1))/100</f>
        <v>2.4812749003984065</v>
      </c>
      <c r="AC45" s="40">
        <f>(SUM(E45,F45)/(N45+0.1))/100</f>
        <v>622.8</v>
      </c>
      <c r="AD45" s="40">
        <f>(SUM(E45,G45)/(O45+0.1))/100</f>
        <v>3.252871287128713</v>
      </c>
    </row>
    <row r="46" ht="57">
      <c r="A46" s="34">
        <f>A45+1</f>
        <v>112</v>
      </c>
      <c r="B46" s="34" t="s">
        <v>138</v>
      </c>
      <c r="C46" s="35" t="s">
        <v>185</v>
      </c>
      <c r="D46" s="35" t="s">
        <v>131</v>
      </c>
      <c r="E46" s="40">
        <v>314</v>
      </c>
      <c r="F46" s="40">
        <v>4</v>
      </c>
      <c r="G46" s="40">
        <v>4.7</v>
      </c>
      <c r="H46" s="40">
        <v>4.8</v>
      </c>
      <c r="I46" s="40">
        <f>((G46*E46)+(H46*F46))/SUM(E46,F46)</f>
        <v>4.70125786163522</v>
      </c>
      <c r="J46" s="40">
        <v>0</v>
      </c>
      <c r="K46" s="40">
        <v>0</v>
      </c>
      <c r="L46" s="40">
        <v>0</v>
      </c>
      <c r="M46" s="40">
        <v>0</v>
      </c>
      <c r="N46" s="40">
        <v>0</v>
      </c>
      <c r="O46" s="40">
        <f>(L46*0.5)+(M46*0.4)+(N46*0.1)</f>
        <v>0</v>
      </c>
      <c r="P46" s="40">
        <v>7004</v>
      </c>
      <c r="Q46" s="40">
        <f>ABS(G46-H46)</f>
        <v>0.09999999999999964</v>
      </c>
      <c r="R46" s="40">
        <f>ABS(G46-I46)</f>
        <v>0.0012578616352199035</v>
      </c>
      <c r="S46" s="40">
        <f>ABS(H46-I46)</f>
        <v>0.09874213836477974</v>
      </c>
      <c r="T46" s="40">
        <f>SUM(E46,G46)/P46</f>
        <v>0.045502569960022846</v>
      </c>
      <c r="U46" s="40">
        <f>LOG10(E46+F46)*I46</f>
        <v>11.764555170995996</v>
      </c>
      <c r="V46" s="37">
        <f>(L46/P46)*100</f>
        <v>0</v>
      </c>
      <c r="W46" s="37">
        <f>(M46/P46)*100</f>
        <v>0</v>
      </c>
      <c r="X46" s="37">
        <f>(N46/P46)*100</f>
        <v>0</v>
      </c>
      <c r="Y46" s="40">
        <f>(O46/P46)*100</f>
        <v>0</v>
      </c>
      <c r="Z46" s="40">
        <f>E46/G46</f>
        <v>66.80851063829788</v>
      </c>
      <c r="AA46" s="40">
        <f>(SUM(E46,F46)/(L46+0.1))/100</f>
        <v>31.8</v>
      </c>
      <c r="AB46" s="40">
        <f>(SUM(E46,F46)/(M46+0.1))/100</f>
        <v>31.8</v>
      </c>
      <c r="AC46" s="40">
        <f>(SUM(E46,F46)/(N46+0.1))/100</f>
        <v>31.8</v>
      </c>
      <c r="AD46" s="40">
        <f>(SUM(E46,G46)/(O46+0.1))/100</f>
        <v>31.869999999999994</v>
      </c>
    </row>
  </sheetData>
  <pageMargins left="0.699999988079071" right="0.699999988079071" top="0.75" bottom="0.75" header="0.30000001192092896" footer="0.30000001192092896"/>
  <pageSetup orientation="portrait"/>
  <legacyDrawing r:id="rId2"/>
</worksheet>
</file>

<file path=xl/worksheets/sheet12.xml><?xml version="1.0" encoding="utf-8"?>
<worksheet xmlns="http://schemas.openxmlformats.org/spreadsheetml/2006/main" xmlns:r="http://schemas.openxmlformats.org/officeDocument/2006/relationships">
  <dimension ref="A1:BE46"/>
  <sheetViews>
    <sheetView zoomScale="70" zoomScaleNormal="70" workbookViewId="0">
      <selection activeCell="B2" sqref="B2"/>
    </sheetView>
  </sheetViews>
  <sheetFormatPr defaultColWidth="11.421875" defaultRowHeight="15"/>
  <sheetData>
    <row r="1">
      <c r="A1" s="9" t="s">
        <v>72</v>
      </c>
      <c r="B1" s="9" t="s">
        <v>73</v>
      </c>
      <c r="C1" s="9" t="s">
        <v>74</v>
      </c>
      <c r="D1" s="9" t="s">
        <v>75</v>
      </c>
      <c r="E1" s="9" t="s">
        <v>76</v>
      </c>
      <c r="F1" s="9" t="s">
        <v>77</v>
      </c>
      <c r="G1" s="9" t="s">
        <v>78</v>
      </c>
      <c r="H1" s="9" t="s">
        <v>79</v>
      </c>
      <c r="I1" s="9" t="s">
        <v>80</v>
      </c>
      <c r="J1" s="9" t="s">
        <v>81</v>
      </c>
      <c r="K1" s="9" t="s">
        <v>82</v>
      </c>
      <c r="L1" s="9" t="s">
        <v>83</v>
      </c>
      <c r="M1" s="9" t="s">
        <v>84</v>
      </c>
      <c r="N1" s="9" t="s">
        <v>85</v>
      </c>
      <c r="O1" s="9" t="s">
        <v>86</v>
      </c>
      <c r="P1" s="9" t="s">
        <v>87</v>
      </c>
      <c r="Q1" s="9" t="s">
        <v>88</v>
      </c>
      <c r="R1" s="9" t="s">
        <v>89</v>
      </c>
      <c r="S1" s="9" t="s">
        <v>90</v>
      </c>
      <c r="T1" s="9" t="s">
        <v>91</v>
      </c>
      <c r="U1" s="9" t="s">
        <v>92</v>
      </c>
      <c r="V1" s="9" t="s">
        <v>93</v>
      </c>
      <c r="W1" s="9" t="s">
        <v>94</v>
      </c>
      <c r="X1" s="9" t="s">
        <v>95</v>
      </c>
      <c r="Y1" s="9" t="s">
        <v>96</v>
      </c>
      <c r="Z1" s="9" t="s">
        <v>97</v>
      </c>
      <c r="AA1" s="9" t="s">
        <v>98</v>
      </c>
      <c r="AB1" s="9" t="s">
        <v>99</v>
      </c>
      <c r="AC1" s="9" t="s">
        <v>100</v>
      </c>
      <c r="AD1" s="9" t="s">
        <v>101</v>
      </c>
    </row>
    <row r="2">
      <c r="A2" s="10">
        <f>'Hoteles Completo'!A2</f>
        <v>68</v>
      </c>
      <c r="B2" t="str">
        <f>'Hoteles Completo'!B2</f>
        <v>Hotel</v>
      </c>
      <c r="C2" t="str">
        <f>'Hoteles Completo'!C2</f>
        <v>Hotel Gravina 51</v>
      </c>
      <c r="D2" t="str">
        <f>'Hoteles Completo'!D2</f>
        <v>Tripadvisor</v>
      </c>
      <c r="E2" s="9">
        <f>'Hoteles Completo'!E2</f>
        <v>566</v>
      </c>
      <c r="F2" s="9">
        <f>'Hoteles Completo'!F2</f>
        <v>1394</v>
      </c>
      <c r="G2" s="9">
        <f>'Hoteles Completo'!G2</f>
        <v>4.9</v>
      </c>
      <c r="H2" s="9">
        <f>'Hoteles Completo'!H2</f>
        <v>5</v>
      </c>
      <c r="I2" s="9">
        <f>'Hoteles Completo'!I2</f>
        <v>4.9711224489795915</v>
      </c>
      <c r="J2" s="9">
        <f>'Hoteles Completo'!J2</f>
        <v>1</v>
      </c>
      <c r="K2" s="9">
        <f>'Hoteles Completo'!K2</f>
        <v>1</v>
      </c>
      <c r="L2" s="9">
        <f>'Hoteles Completo'!L2</f>
        <v>0</v>
      </c>
      <c r="M2" s="9">
        <f>'Hoteles Completo'!M2</f>
        <v>0</v>
      </c>
      <c r="N2" s="9">
        <f>'Hoteles Completo'!N2</f>
        <v>0</v>
      </c>
      <c r="O2" s="9">
        <f>'Hoteles Completo'!O2</f>
        <v>0</v>
      </c>
      <c r="P2" s="9">
        <f>'Hoteles Completo'!P2</f>
        <v>785</v>
      </c>
      <c r="Q2" s="9">
        <f>'Hoteles Completo'!Q2</f>
        <v>0.09999999999999964</v>
      </c>
      <c r="R2" s="9">
        <f>'Hoteles Completo'!R2</f>
        <v>0.028877551020408454</v>
      </c>
      <c r="S2" s="9">
        <f>'Hoteles Completo'!S2</f>
        <v>0.028877551020408454</v>
      </c>
      <c r="T2" s="9">
        <f>'Hoteles Completo'!T2</f>
        <v>2.4968152866242037</v>
      </c>
      <c r="U2" s="9">
        <f>'Hoteles Completo'!U2</f>
        <v>16.366208064109532</v>
      </c>
      <c r="V2" s="9">
        <f>'Hoteles Completo'!V2</f>
        <v>0</v>
      </c>
      <c r="W2" s="9">
        <f>'Hoteles Completo'!W2</f>
        <v>0</v>
      </c>
      <c r="X2" s="9">
        <f>'Hoteles Completo'!X2</f>
        <v>0</v>
      </c>
      <c r="Y2" s="9">
        <f>'Hoteles Completo'!Y2</f>
        <v>0</v>
      </c>
      <c r="Z2" s="9">
        <f>'Hoteles Completo'!Z2</f>
        <v>0.406025824964132</v>
      </c>
      <c r="AA2" s="9">
        <f>'Hoteles Completo'!AA2</f>
        <v>196</v>
      </c>
      <c r="AB2" s="9">
        <f>'Hoteles Completo'!AB2</f>
        <v>196</v>
      </c>
      <c r="AC2" s="9">
        <f>'Hoteles Completo'!AC2</f>
        <v>196</v>
      </c>
      <c r="AD2" s="9">
        <f>'Hoteles Completo'!AD2</f>
        <v>196</v>
      </c>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row>
    <row r="3">
      <c r="A3" s="10">
        <f>'Hoteles Completo'!A3</f>
        <v>69</v>
      </c>
      <c r="B3" t="str">
        <f>'Hoteles Completo'!B3</f>
        <v>Hotel</v>
      </c>
      <c r="C3" t="str">
        <f>'Hoteles Completo'!C3</f>
        <v>Hotel Tayko Sevilla</v>
      </c>
      <c r="D3" t="str">
        <f>'Hoteles Completo'!D3</f>
        <v>Tripadvisor</v>
      </c>
      <c r="E3" s="9">
        <f>'Hoteles Completo'!E3</f>
        <v>260</v>
      </c>
      <c r="F3" s="9">
        <f>'Hoteles Completo'!F3</f>
        <v>493</v>
      </c>
      <c r="G3" s="9">
        <f>'Hoteles Completo'!G3</f>
        <v>4.8</v>
      </c>
      <c r="H3" s="9">
        <f>'Hoteles Completo'!H3</f>
        <v>5</v>
      </c>
      <c r="I3" s="9">
        <f>'Hoteles Completo'!I3</f>
        <v>4.930942895086321</v>
      </c>
      <c r="J3" s="9">
        <f>'Hoteles Completo'!J3</f>
        <v>1</v>
      </c>
      <c r="K3" s="9">
        <f>'Hoteles Completo'!K3</f>
        <v>2</v>
      </c>
      <c r="L3" s="9">
        <f>'Hoteles Completo'!L3</f>
        <v>0</v>
      </c>
      <c r="M3" s="9">
        <f>'Hoteles Completo'!M3</f>
        <v>0</v>
      </c>
      <c r="N3" s="9">
        <f>'Hoteles Completo'!N3</f>
        <v>0</v>
      </c>
      <c r="O3" s="9">
        <f>'Hoteles Completo'!O3</f>
        <v>0</v>
      </c>
      <c r="P3" s="9">
        <f>'Hoteles Completo'!P3</f>
        <v>440</v>
      </c>
      <c r="Q3" s="9">
        <f>'Hoteles Completo'!Q3</f>
        <v>0.20000000000000018</v>
      </c>
      <c r="R3" s="9">
        <f>'Hoteles Completo'!R3</f>
        <v>0.13094289508632162</v>
      </c>
      <c r="S3" s="9">
        <f>'Hoteles Completo'!S3</f>
        <v>0.06905710491367856</v>
      </c>
      <c r="T3" s="9">
        <f>'Hoteles Completo'!T3</f>
        <v>1.7113636363636364</v>
      </c>
      <c r="U3" s="9">
        <f>'Hoteles Completo'!U3</f>
        <v>14.185311748516868</v>
      </c>
      <c r="V3" s="9">
        <f>'Hoteles Completo'!V3</f>
        <v>0</v>
      </c>
      <c r="W3" s="9">
        <f>'Hoteles Completo'!W3</f>
        <v>0</v>
      </c>
      <c r="X3" s="9">
        <f>'Hoteles Completo'!X3</f>
        <v>0</v>
      </c>
      <c r="Y3" s="9">
        <f>'Hoteles Completo'!Y3</f>
        <v>0</v>
      </c>
      <c r="Z3" s="9">
        <f>'Hoteles Completo'!Z3</f>
        <v>0.5273833671399595</v>
      </c>
      <c r="AA3" s="9">
        <f>'Hoteles Completo'!AA3</f>
        <v>75.3</v>
      </c>
      <c r="AB3" s="9">
        <f>'Hoteles Completo'!AB3</f>
        <v>75.3</v>
      </c>
      <c r="AC3" s="9">
        <f>'Hoteles Completo'!AC3</f>
        <v>75.3</v>
      </c>
      <c r="AD3" s="9">
        <f>'Hoteles Completo'!AD3</f>
        <v>75.3</v>
      </c>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row>
    <row r="4">
      <c r="A4" s="10">
        <f>'Hoteles Completo'!A4</f>
        <v>70</v>
      </c>
      <c r="B4" t="str">
        <f>'Hoteles Completo'!B4</f>
        <v>Hotel</v>
      </c>
      <c r="C4" t="str">
        <f>'Hoteles Completo'!C4</f>
        <v>Cavalta Boutique Hotel</v>
      </c>
      <c r="D4" t="str">
        <f>'Hoteles Completo'!D4</f>
        <v>Tripadvisor</v>
      </c>
      <c r="E4" s="9">
        <f>'Hoteles Completo'!E4</f>
        <v>185</v>
      </c>
      <c r="F4" s="9">
        <f>'Hoteles Completo'!F4</f>
        <v>224</v>
      </c>
      <c r="G4" s="9">
        <f>'Hoteles Completo'!G4</f>
        <v>4.5</v>
      </c>
      <c r="H4" s="9">
        <f>'Hoteles Completo'!H4</f>
        <v>4.9</v>
      </c>
      <c r="I4" s="9">
        <f>'Hoteles Completo'!I4</f>
        <v>4.719070904645477</v>
      </c>
      <c r="J4" s="9">
        <f>'Hoteles Completo'!J4</f>
        <v>1</v>
      </c>
      <c r="K4" s="9">
        <f>'Hoteles Completo'!K4</f>
        <v>3</v>
      </c>
      <c r="L4" s="9">
        <f>'Hoteles Completo'!L4</f>
        <v>0</v>
      </c>
      <c r="M4" s="9">
        <f>'Hoteles Completo'!M4</f>
        <v>0</v>
      </c>
      <c r="N4" s="9">
        <f>'Hoteles Completo'!N4</f>
        <v>20</v>
      </c>
      <c r="O4" s="9">
        <f>'Hoteles Completo'!O4</f>
        <v>2</v>
      </c>
      <c r="P4" s="9">
        <f>'Hoteles Completo'!P4</f>
        <v>1510</v>
      </c>
      <c r="Q4" s="9">
        <f>'Hoteles Completo'!Q4</f>
        <v>0.40000000000000036</v>
      </c>
      <c r="R4" s="9">
        <f>'Hoteles Completo'!R4</f>
        <v>0.21907090464547707</v>
      </c>
      <c r="S4" s="9">
        <f>'Hoteles Completo'!S4</f>
        <v>0.18092909535452328</v>
      </c>
      <c r="T4" s="9">
        <f>'Hoteles Completo'!T4</f>
        <v>0.27086092715231785</v>
      </c>
      <c r="U4" s="9">
        <f>'Hoteles Completo'!U4</f>
        <v>12.324907473801884</v>
      </c>
      <c r="V4" s="9">
        <f>'Hoteles Completo'!V4</f>
        <v>0</v>
      </c>
      <c r="W4" s="9">
        <f>'Hoteles Completo'!W4</f>
        <v>0</v>
      </c>
      <c r="X4" s="9">
        <f>'Hoteles Completo'!X4</f>
        <v>1.3245033112582782</v>
      </c>
      <c r="Y4" s="9">
        <f>'Hoteles Completo'!Y4</f>
        <v>0.13245033112582782</v>
      </c>
      <c r="Z4" s="9">
        <f>'Hoteles Completo'!Z4</f>
        <v>0.8258928571428571</v>
      </c>
      <c r="AA4" s="9">
        <f>'Hoteles Completo'!AA4</f>
        <v>40.9</v>
      </c>
      <c r="AB4" s="9">
        <f>'Hoteles Completo'!AB4</f>
        <v>40.9</v>
      </c>
      <c r="AC4" s="9">
        <f>'Hoteles Completo'!AC4</f>
        <v>0.20348258706467662</v>
      </c>
      <c r="AD4" s="9">
        <f>'Hoteles Completo'!AD4</f>
        <v>1.9476190476190476</v>
      </c>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row>
    <row r="5">
      <c r="A5" s="10">
        <f>'Hoteles Completo'!A5</f>
        <v>71</v>
      </c>
      <c r="B5" t="str">
        <f>'Hoteles Completo'!B5</f>
        <v>Hotel</v>
      </c>
      <c r="C5" t="str">
        <f>'Hoteles Completo'!C5</f>
        <v>H10 Casa de la Plata</v>
      </c>
      <c r="D5" t="str">
        <f>'Hoteles Completo'!D5</f>
        <v>Tripadvisor</v>
      </c>
      <c r="E5" s="9">
        <f>'Hoteles Completo'!E5</f>
        <v>971</v>
      </c>
      <c r="F5" s="9">
        <f>'Hoteles Completo'!F5</f>
        <v>920</v>
      </c>
      <c r="G5" s="9">
        <f>'Hoteles Completo'!G5</f>
        <v>4.8</v>
      </c>
      <c r="H5" s="9">
        <f>'Hoteles Completo'!H5</f>
        <v>4.9</v>
      </c>
      <c r="I5" s="9">
        <f>'Hoteles Completo'!I5</f>
        <v>4.848651507139079</v>
      </c>
      <c r="J5" s="9">
        <f>'Hoteles Completo'!J5</f>
        <v>1</v>
      </c>
      <c r="K5" s="9">
        <f>'Hoteles Completo'!K5</f>
        <v>4</v>
      </c>
      <c r="L5" s="9">
        <f>'Hoteles Completo'!L5</f>
        <v>0</v>
      </c>
      <c r="M5" s="9">
        <f>'Hoteles Completo'!M5</f>
        <v>0</v>
      </c>
      <c r="N5" s="9">
        <f>'Hoteles Completo'!N5</f>
        <v>0</v>
      </c>
      <c r="O5" s="9">
        <f>'Hoteles Completo'!O5</f>
        <v>0</v>
      </c>
      <c r="P5" s="9">
        <f>'Hoteles Completo'!P5</f>
        <v>548</v>
      </c>
      <c r="Q5" s="9">
        <f>'Hoteles Completo'!Q5</f>
        <v>0.10000000000000053</v>
      </c>
      <c r="R5" s="9">
        <f>'Hoteles Completo'!R5</f>
        <v>0.04865150713907962</v>
      </c>
      <c r="S5" s="9">
        <f>'Hoteles Completo'!S5</f>
        <v>0.051348492860920913</v>
      </c>
      <c r="T5" s="9">
        <f>'Hoteles Completo'!T5</f>
        <v>3.4507299270072993</v>
      </c>
      <c r="U5" s="9">
        <f>'Hoteles Completo'!U5</f>
        <v>15.887535319764357</v>
      </c>
      <c r="V5" s="9">
        <f>'Hoteles Completo'!V5</f>
        <v>0</v>
      </c>
      <c r="W5" s="9">
        <f>'Hoteles Completo'!W5</f>
        <v>0</v>
      </c>
      <c r="X5" s="9">
        <f>'Hoteles Completo'!X5</f>
        <v>0</v>
      </c>
      <c r="Y5" s="9">
        <f>'Hoteles Completo'!Y5</f>
        <v>0</v>
      </c>
      <c r="Z5" s="9">
        <f>'Hoteles Completo'!Z5</f>
        <v>1.0554347826086956</v>
      </c>
      <c r="AA5" s="9">
        <f>'Hoteles Completo'!AA5</f>
        <v>189.1</v>
      </c>
      <c r="AB5" s="9">
        <f>'Hoteles Completo'!AB5</f>
        <v>189.1</v>
      </c>
      <c r="AC5" s="9">
        <f>'Hoteles Completo'!AC5</f>
        <v>189.1</v>
      </c>
      <c r="AD5" s="9">
        <f>'Hoteles Completo'!AD5</f>
        <v>189.1</v>
      </c>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row>
    <row r="6">
      <c r="A6" s="10">
        <f>'Hoteles Completo'!A6</f>
        <v>72</v>
      </c>
      <c r="B6" t="str">
        <f>'Hoteles Completo'!B6</f>
        <v>Hotel</v>
      </c>
      <c r="C6" t="str">
        <f>'Hoteles Completo'!C6</f>
        <v>Mercer Plaza Sevilla</v>
      </c>
      <c r="D6" t="str">
        <f>'Hoteles Completo'!D6</f>
        <v>Tripadvisor</v>
      </c>
      <c r="E6" s="9">
        <f>'Hoteles Completo'!E6</f>
        <v>206</v>
      </c>
      <c r="F6" s="9">
        <f>'Hoteles Completo'!F6</f>
        <v>216</v>
      </c>
      <c r="G6" s="9">
        <f>'Hoteles Completo'!G6</f>
        <v>4.7</v>
      </c>
      <c r="H6" s="9">
        <f>'Hoteles Completo'!H6</f>
        <v>4.9</v>
      </c>
      <c r="I6" s="9">
        <f>'Hoteles Completo'!I6</f>
        <v>4.802369668246445</v>
      </c>
      <c r="J6" s="9">
        <f>'Hoteles Completo'!J6</f>
        <v>1</v>
      </c>
      <c r="K6" s="9">
        <f>'Hoteles Completo'!K6</f>
        <v>5</v>
      </c>
      <c r="L6" s="9">
        <f>'Hoteles Completo'!L6</f>
        <v>0</v>
      </c>
      <c r="M6" s="9">
        <f>'Hoteles Completo'!M6</f>
        <v>20</v>
      </c>
      <c r="N6" s="9">
        <f>'Hoteles Completo'!N6</f>
        <v>0</v>
      </c>
      <c r="O6" s="9">
        <f>'Hoteles Completo'!O6</f>
        <v>8</v>
      </c>
      <c r="P6" s="9">
        <f>'Hoteles Completo'!P6</f>
        <v>255</v>
      </c>
      <c r="Q6" s="9">
        <f>'Hoteles Completo'!Q6</f>
        <v>0.20000000000000018</v>
      </c>
      <c r="R6" s="9">
        <f>'Hoteles Completo'!R6</f>
        <v>0.10236966824644522</v>
      </c>
      <c r="S6" s="9">
        <f>'Hoteles Completo'!S6</f>
        <v>0.09763033175355496</v>
      </c>
      <c r="T6" s="9">
        <f>'Hoteles Completo'!T6</f>
        <v>1.6549019607843136</v>
      </c>
      <c r="U6" s="9">
        <f>'Hoteles Completo'!U6</f>
        <v>12.607720884168076</v>
      </c>
      <c r="V6" s="9">
        <f>'Hoteles Completo'!V6</f>
        <v>0</v>
      </c>
      <c r="W6" s="9">
        <f>'Hoteles Completo'!W6</f>
        <v>7.8431372549019605</v>
      </c>
      <c r="X6" s="9">
        <f>'Hoteles Completo'!X6</f>
        <v>0</v>
      </c>
      <c r="Y6" s="9">
        <f>'Hoteles Completo'!Y6</f>
        <v>3.1372549019607843</v>
      </c>
      <c r="Z6" s="9">
        <f>'Hoteles Completo'!Z6</f>
        <v>0.9537037037037037</v>
      </c>
      <c r="AA6" s="9">
        <f>'Hoteles Completo'!AA6</f>
        <v>42.2</v>
      </c>
      <c r="AB6" s="9">
        <f>'Hoteles Completo'!AB6</f>
        <v>0.2099502487562189</v>
      </c>
      <c r="AC6" s="9">
        <f>'Hoteles Completo'!AC6</f>
        <v>42.2</v>
      </c>
      <c r="AD6" s="9">
        <f>'Hoteles Completo'!AD6</f>
        <v>0.5209876543209877</v>
      </c>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row>
    <row r="7">
      <c r="A7" s="10">
        <f>'Hoteles Completo'!A7</f>
        <v>73</v>
      </c>
      <c r="B7" t="str">
        <f>'Hoteles Completo'!B7</f>
        <v>Hotel</v>
      </c>
      <c r="C7" t="str">
        <f>'Hoteles Completo'!C7</f>
        <v>Colectia Hotel Parada del Marqués</v>
      </c>
      <c r="D7" t="str">
        <f>'Hoteles Completo'!D7</f>
        <v>Tripadvisor</v>
      </c>
      <c r="E7" s="9">
        <f>'Hoteles Completo'!E7</f>
        <v>321</v>
      </c>
      <c r="F7" s="9">
        <f>'Hoteles Completo'!F7</f>
        <v>493</v>
      </c>
      <c r="G7" s="9">
        <f>'Hoteles Completo'!G7</f>
        <v>4.6</v>
      </c>
      <c r="H7" s="9">
        <f>'Hoteles Completo'!H7</f>
        <v>4.8</v>
      </c>
      <c r="I7" s="9">
        <f>'Hoteles Completo'!I7</f>
        <v>4.721130221130221</v>
      </c>
      <c r="J7" s="9">
        <f>'Hoteles Completo'!J7</f>
        <v>1</v>
      </c>
      <c r="K7" s="9">
        <f>'Hoteles Completo'!K7</f>
        <v>6</v>
      </c>
      <c r="L7" s="9">
        <f>'Hoteles Completo'!L7</f>
        <v>0</v>
      </c>
      <c r="M7" s="9">
        <f>'Hoteles Completo'!M7</f>
        <v>0</v>
      </c>
      <c r="N7" s="9">
        <f>'Hoteles Completo'!N7</f>
        <v>25</v>
      </c>
      <c r="O7" s="9">
        <f>'Hoteles Completo'!O7</f>
        <v>2.5</v>
      </c>
      <c r="P7" s="9">
        <f>'Hoteles Completo'!P7</f>
        <v>922</v>
      </c>
      <c r="Q7" s="9">
        <f>'Hoteles Completo'!Q7</f>
        <v>0.20000000000000018</v>
      </c>
      <c r="R7" s="9">
        <f>'Hoteles Completo'!R7</f>
        <v>0.12113022113022165</v>
      </c>
      <c r="S7" s="9">
        <f>'Hoteles Completo'!S7</f>
        <v>0.07886977886977853</v>
      </c>
      <c r="T7" s="9">
        <f>'Hoteles Completo'!T7</f>
        <v>0.8828633405639913</v>
      </c>
      <c r="U7" s="9">
        <f>'Hoteles Completo'!U7</f>
        <v>13.741436840281573</v>
      </c>
      <c r="V7" s="9">
        <f>'Hoteles Completo'!V7</f>
        <v>0</v>
      </c>
      <c r="W7" s="9">
        <f>'Hoteles Completo'!W7</f>
        <v>0</v>
      </c>
      <c r="X7" s="9">
        <f>'Hoteles Completo'!X7</f>
        <v>2.711496746203905</v>
      </c>
      <c r="Y7" s="9">
        <f>'Hoteles Completo'!Y7</f>
        <v>0.27114967462039047</v>
      </c>
      <c r="Z7" s="9">
        <f>'Hoteles Completo'!Z7</f>
        <v>0.6511156186612576</v>
      </c>
      <c r="AA7" s="9">
        <f>'Hoteles Completo'!AA7</f>
        <v>81.4</v>
      </c>
      <c r="AB7" s="9">
        <f>'Hoteles Completo'!AB7</f>
        <v>81.4</v>
      </c>
      <c r="AC7" s="9">
        <f>'Hoteles Completo'!AC7</f>
        <v>0.3243027888446215</v>
      </c>
      <c r="AD7" s="9">
        <f>'Hoteles Completo'!AD7</f>
        <v>3.1307692307692307</v>
      </c>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row>
    <row r="8">
      <c r="A8" s="10">
        <f>'Hoteles Completo'!A8</f>
        <v>74</v>
      </c>
      <c r="B8" t="str">
        <f>'Hoteles Completo'!B8</f>
        <v>Hotel</v>
      </c>
      <c r="C8" t="str">
        <f>'Hoteles Completo'!C8</f>
        <v>Hotel Kivir</v>
      </c>
      <c r="D8" t="str">
        <f>'Hoteles Completo'!D8</f>
        <v>Tripadvisor</v>
      </c>
      <c r="E8" s="9">
        <f>'Hoteles Completo'!E8</f>
        <v>1161</v>
      </c>
      <c r="F8" s="9">
        <f>'Hoteles Completo'!F8</f>
        <v>694</v>
      </c>
      <c r="G8" s="9">
        <f>'Hoteles Completo'!G8</f>
        <v>4.7</v>
      </c>
      <c r="H8" s="9">
        <f>'Hoteles Completo'!H8</f>
        <v>4.9</v>
      </c>
      <c r="I8" s="9">
        <f>'Hoteles Completo'!I8</f>
        <v>4.7748247978436655</v>
      </c>
      <c r="J8" s="9">
        <f>'Hoteles Completo'!J8</f>
        <v>1</v>
      </c>
      <c r="K8" s="9">
        <f>'Hoteles Completo'!K8</f>
        <v>7</v>
      </c>
      <c r="L8" s="9">
        <f>'Hoteles Completo'!L8</f>
        <v>0</v>
      </c>
      <c r="M8" s="9">
        <f>'Hoteles Completo'!M8</f>
        <v>0</v>
      </c>
      <c r="N8" s="9">
        <f>'Hoteles Completo'!N8</f>
        <v>0</v>
      </c>
      <c r="O8" s="9">
        <f>'Hoteles Completo'!O8</f>
        <v>0</v>
      </c>
      <c r="P8" s="9">
        <f>'Hoteles Completo'!P8</f>
        <v>730</v>
      </c>
      <c r="Q8" s="9">
        <f>'Hoteles Completo'!Q8</f>
        <v>0.20000000000000018</v>
      </c>
      <c r="R8" s="9">
        <f>'Hoteles Completo'!R8</f>
        <v>0.07482479784366536</v>
      </c>
      <c r="S8" s="9">
        <f>'Hoteles Completo'!S8</f>
        <v>0.12517520215633482</v>
      </c>
      <c r="T8" s="9">
        <f>'Hoteles Completo'!T8</f>
        <v>2.541095890410959</v>
      </c>
      <c r="U8" s="9">
        <f>'Hoteles Completo'!U8</f>
        <v>15.605769568214967</v>
      </c>
      <c r="V8" s="9">
        <f>'Hoteles Completo'!V8</f>
        <v>0</v>
      </c>
      <c r="W8" s="9">
        <f>'Hoteles Completo'!W8</f>
        <v>0</v>
      </c>
      <c r="X8" s="9">
        <f>'Hoteles Completo'!X8</f>
        <v>0</v>
      </c>
      <c r="Y8" s="9">
        <f>'Hoteles Completo'!Y8</f>
        <v>0</v>
      </c>
      <c r="Z8" s="9">
        <f>'Hoteles Completo'!Z8</f>
        <v>1.6729106628242074</v>
      </c>
      <c r="AA8" s="9">
        <f>'Hoteles Completo'!AA8</f>
        <v>185.5</v>
      </c>
      <c r="AB8" s="9">
        <f>'Hoteles Completo'!AB8</f>
        <v>185.5</v>
      </c>
      <c r="AC8" s="9">
        <f>'Hoteles Completo'!AC8</f>
        <v>185.5</v>
      </c>
      <c r="AD8" s="9">
        <f>'Hoteles Completo'!AD8</f>
        <v>185.5</v>
      </c>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row>
    <row r="9">
      <c r="A9" s="10">
        <f>'Hoteles Completo'!A9</f>
        <v>75</v>
      </c>
      <c r="B9" t="str">
        <f>'Hoteles Completo'!B9</f>
        <v>Hotel</v>
      </c>
      <c r="C9" t="str">
        <f>'Hoteles Completo'!C9</f>
        <v>Corral del Rey</v>
      </c>
      <c r="D9" t="str">
        <f>'Hoteles Completo'!D9</f>
        <v>Tripadvisor</v>
      </c>
      <c r="E9" s="9">
        <f>'Hoteles Completo'!E9</f>
        <v>148</v>
      </c>
      <c r="F9" s="9">
        <f>'Hoteles Completo'!F9</f>
        <v>1087</v>
      </c>
      <c r="G9" s="9">
        <f>'Hoteles Completo'!G9</f>
        <v>4.6</v>
      </c>
      <c r="H9" s="9">
        <f>'Hoteles Completo'!H9</f>
        <v>4.8</v>
      </c>
      <c r="I9" s="9">
        <f>'Hoteles Completo'!I9</f>
        <v>4.7760323886639675</v>
      </c>
      <c r="J9" s="9">
        <f>'Hoteles Completo'!J9</f>
        <v>1</v>
      </c>
      <c r="K9" s="9">
        <f>'Hoteles Completo'!K9</f>
        <v>8</v>
      </c>
      <c r="L9" s="9">
        <f>'Hoteles Completo'!L9</f>
        <v>0</v>
      </c>
      <c r="M9" s="9">
        <f>'Hoteles Completo'!M9</f>
        <v>0</v>
      </c>
      <c r="N9" s="9">
        <f>'Hoteles Completo'!N9</f>
        <v>0</v>
      </c>
      <c r="O9" s="9">
        <f>'Hoteles Completo'!O9</f>
        <v>0</v>
      </c>
      <c r="P9" s="9">
        <f>'Hoteles Completo'!P9</f>
        <v>361</v>
      </c>
      <c r="Q9" s="9">
        <f>'Hoteles Completo'!Q9</f>
        <v>0.20000000000000018</v>
      </c>
      <c r="R9" s="9">
        <f>'Hoteles Completo'!R9</f>
        <v>0.17603238866396786</v>
      </c>
      <c r="S9" s="9">
        <f>'Hoteles Completo'!S9</f>
        <v>0.023967611336032313</v>
      </c>
      <c r="T9" s="9">
        <f>'Hoteles Completo'!T9</f>
        <v>3.4210526315789473</v>
      </c>
      <c r="U9" s="9">
        <f>'Hoteles Completo'!U9</f>
        <v>14.765901524439178</v>
      </c>
      <c r="V9" s="9">
        <f>'Hoteles Completo'!V9</f>
        <v>0</v>
      </c>
      <c r="W9" s="9">
        <f>'Hoteles Completo'!W9</f>
        <v>0</v>
      </c>
      <c r="X9" s="9">
        <f>'Hoteles Completo'!X9</f>
        <v>0</v>
      </c>
      <c r="Y9" s="9">
        <f>'Hoteles Completo'!Y9</f>
        <v>0</v>
      </c>
      <c r="Z9" s="9">
        <f>'Hoteles Completo'!Z9</f>
        <v>0.13615455381784727</v>
      </c>
      <c r="AA9" s="9">
        <f>'Hoteles Completo'!AA9</f>
        <v>123.5</v>
      </c>
      <c r="AB9" s="9">
        <f>'Hoteles Completo'!AB9</f>
        <v>123.5</v>
      </c>
      <c r="AC9" s="9">
        <f>'Hoteles Completo'!AC9</f>
        <v>123.5</v>
      </c>
      <c r="AD9" s="9">
        <f>'Hoteles Completo'!AD9</f>
        <v>123.5</v>
      </c>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row>
    <row r="10">
      <c r="A10" s="10">
        <f>'Hoteles Completo'!A10</f>
        <v>76</v>
      </c>
      <c r="B10" t="str">
        <f>'Hoteles Completo'!B10</f>
        <v>Hotel</v>
      </c>
      <c r="C10" t="str">
        <f>'Hoteles Completo'!C10</f>
        <v>Mercer Hotel Sevilla 5 GI</v>
      </c>
      <c r="D10" t="str">
        <f>'Hoteles Completo'!D10</f>
        <v>Tripadvisor</v>
      </c>
      <c r="E10" s="9">
        <f>'Hoteles Completo'!E10</f>
        <v>226</v>
      </c>
      <c r="F10" s="9">
        <f>'Hoteles Completo'!F10</f>
        <v>647</v>
      </c>
      <c r="G10" s="9">
        <f>'Hoteles Completo'!G10</f>
        <v>4.5</v>
      </c>
      <c r="H10" s="9">
        <f>'Hoteles Completo'!H10</f>
        <v>4.9</v>
      </c>
      <c r="I10" s="9">
        <f>'Hoteles Completo'!I10</f>
        <v>4.796449026345933</v>
      </c>
      <c r="J10" s="9">
        <f>'Hoteles Completo'!J10</f>
        <v>1</v>
      </c>
      <c r="K10" s="9">
        <f>'Hoteles Completo'!K10</f>
        <v>9</v>
      </c>
      <c r="L10" s="9">
        <f>'Hoteles Completo'!L10</f>
        <v>0</v>
      </c>
      <c r="M10" s="9">
        <f>'Hoteles Completo'!M10</f>
        <v>0</v>
      </c>
      <c r="N10" s="9">
        <f>'Hoteles Completo'!N10</f>
        <v>0</v>
      </c>
      <c r="O10" s="9">
        <f>'Hoteles Completo'!O10</f>
        <v>0</v>
      </c>
      <c r="P10" s="9">
        <f>'Hoteles Completo'!P10</f>
        <v>453</v>
      </c>
      <c r="Q10" s="9">
        <f>'Hoteles Completo'!Q10</f>
        <v>0.40000000000000036</v>
      </c>
      <c r="R10" s="9">
        <f>'Hoteles Completo'!R10</f>
        <v>0.2964490263459334</v>
      </c>
      <c r="S10" s="9">
        <f>'Hoteles Completo'!S10</f>
        <v>0.10355097365406696</v>
      </c>
      <c r="T10" s="9">
        <f>'Hoteles Completo'!T10</f>
        <v>1.9271523178807948</v>
      </c>
      <c r="U10" s="9">
        <f>'Hoteles Completo'!U10</f>
        <v>14.106424905691101</v>
      </c>
      <c r="V10" s="9">
        <f>'Hoteles Completo'!V10</f>
        <v>0</v>
      </c>
      <c r="W10" s="9">
        <f>'Hoteles Completo'!W10</f>
        <v>0</v>
      </c>
      <c r="X10" s="9">
        <f>'Hoteles Completo'!X10</f>
        <v>0</v>
      </c>
      <c r="Y10" s="9">
        <f>'Hoteles Completo'!Y10</f>
        <v>0</v>
      </c>
      <c r="Z10" s="9">
        <f>'Hoteles Completo'!Z10</f>
        <v>0.34930448222565685</v>
      </c>
      <c r="AA10" s="9">
        <f>'Hoteles Completo'!AA10</f>
        <v>87.3</v>
      </c>
      <c r="AB10" s="9">
        <f>'Hoteles Completo'!AB10</f>
        <v>87.3</v>
      </c>
      <c r="AC10" s="9">
        <f>'Hoteles Completo'!AC10</f>
        <v>87.3</v>
      </c>
      <c r="AD10" s="9">
        <f>'Hoteles Completo'!AD10</f>
        <v>87.3</v>
      </c>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row>
    <row r="11">
      <c r="A11" s="10">
        <f>'Hoteles Completo'!A11</f>
        <v>77</v>
      </c>
      <c r="B11" t="str">
        <f>'Hoteles Completo'!B11</f>
        <v>Hotel</v>
      </c>
      <c r="C11" t="str">
        <f>'Hoteles Completo'!C11</f>
        <v>Only YOU Hotel Sevilla</v>
      </c>
      <c r="D11" t="str">
        <f>'Hoteles Completo'!D11</f>
        <v>Tripadvisor</v>
      </c>
      <c r="E11" s="9">
        <f>'Hoteles Completo'!E11</f>
        <v>811</v>
      </c>
      <c r="F11" s="9">
        <f>'Hoteles Completo'!F11</f>
        <v>344</v>
      </c>
      <c r="G11" s="9">
        <f>'Hoteles Completo'!G11</f>
        <v>4.7</v>
      </c>
      <c r="H11" s="9">
        <f>'Hoteles Completo'!H11</f>
        <v>4.9</v>
      </c>
      <c r="I11" s="9">
        <f>'Hoteles Completo'!I11</f>
        <v>4.7595670995671</v>
      </c>
      <c r="J11" s="9">
        <f>'Hoteles Completo'!J11</f>
        <v>1</v>
      </c>
      <c r="K11" s="9">
        <f>'Hoteles Completo'!K11</f>
        <v>10</v>
      </c>
      <c r="L11" s="9">
        <f>'Hoteles Completo'!L11</f>
        <v>100</v>
      </c>
      <c r="M11" s="9">
        <f>'Hoteles Completo'!M11</f>
        <v>166</v>
      </c>
      <c r="N11" s="9">
        <f>'Hoteles Completo'!N11</f>
        <v>50</v>
      </c>
      <c r="O11" s="9">
        <f>'Hoteles Completo'!O11</f>
        <v>121.4</v>
      </c>
      <c r="P11" s="9">
        <f>'Hoteles Completo'!P11</f>
        <v>1630</v>
      </c>
      <c r="Q11" s="9">
        <f>'Hoteles Completo'!Q11</f>
        <v>0.20000000000000018</v>
      </c>
      <c r="R11" s="9">
        <f>'Hoteles Completo'!R11</f>
        <v>0.059567099567099824</v>
      </c>
      <c r="S11" s="9">
        <f>'Hoteles Completo'!S11</f>
        <v>0.14043290043290035</v>
      </c>
      <c r="T11" s="9">
        <f>'Hoteles Completo'!T11</f>
        <v>0.7085889570552147</v>
      </c>
      <c r="U11" s="9">
        <f>'Hoteles Completo'!U11</f>
        <v>14.576564451859293</v>
      </c>
      <c r="V11" s="9">
        <f>'Hoteles Completo'!V11</f>
        <v>6.134969325153374</v>
      </c>
      <c r="W11" s="9">
        <f>'Hoteles Completo'!W11</f>
        <v>10.184049079754601</v>
      </c>
      <c r="X11" s="9">
        <f>'Hoteles Completo'!X11</f>
        <v>3.067484662576687</v>
      </c>
      <c r="Y11" s="9">
        <f>'Hoteles Completo'!Y11</f>
        <v>7.447852760736197</v>
      </c>
      <c r="Z11" s="9">
        <f>'Hoteles Completo'!Z11</f>
        <v>2.3575581395348837</v>
      </c>
      <c r="AA11" s="9">
        <f>'Hoteles Completo'!AA11</f>
        <v>0.11538461538461538</v>
      </c>
      <c r="AB11" s="9">
        <f>'Hoteles Completo'!AB11</f>
        <v>0.06953642384105961</v>
      </c>
      <c r="AC11" s="9">
        <f>'Hoteles Completo'!AC11</f>
        <v>0.2305389221556886</v>
      </c>
      <c r="AD11" s="9">
        <f>'Hoteles Completo'!AD11</f>
        <v>0.09506172839506172</v>
      </c>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row>
    <row r="12">
      <c r="A12" s="10">
        <f>'Hoteles Completo'!A12</f>
        <v>78</v>
      </c>
      <c r="B12" t="str">
        <f>'Hoteles Completo'!B12</f>
        <v>Hotel</v>
      </c>
      <c r="C12" t="str">
        <f>'Hoteles Completo'!C12</f>
        <v>Hotel Boutique Casa Del Poeta</v>
      </c>
      <c r="D12" t="str">
        <f>'Hoteles Completo'!D12</f>
        <v>Tripadvisor</v>
      </c>
      <c r="E12" s="9">
        <f>'Hoteles Completo'!E12</f>
        <v>367</v>
      </c>
      <c r="F12" s="9">
        <f>'Hoteles Completo'!F12</f>
        <v>1709</v>
      </c>
      <c r="G12" s="9">
        <f>'Hoteles Completo'!G12</f>
        <v>4.7</v>
      </c>
      <c r="H12" s="9">
        <f>'Hoteles Completo'!H12</f>
        <v>4.9</v>
      </c>
      <c r="I12" s="9">
        <f>'Hoteles Completo'!I12</f>
        <v>4.8646435452793835</v>
      </c>
      <c r="J12" s="9">
        <f>'Hoteles Completo'!J12</f>
        <v>1</v>
      </c>
      <c r="K12" s="9">
        <f>'Hoteles Completo'!K12</f>
        <v>11</v>
      </c>
      <c r="L12" s="9">
        <f>'Hoteles Completo'!L12</f>
        <v>0</v>
      </c>
      <c r="M12" s="9">
        <f>'Hoteles Completo'!M12</f>
        <v>0</v>
      </c>
      <c r="N12" s="9">
        <f>'Hoteles Completo'!N12</f>
        <v>0</v>
      </c>
      <c r="O12" s="9">
        <f>'Hoteles Completo'!O12</f>
        <v>0</v>
      </c>
      <c r="P12" s="9">
        <f>'Hoteles Completo'!P12</f>
        <v>305</v>
      </c>
      <c r="Q12" s="9">
        <f>'Hoteles Completo'!Q12</f>
        <v>0.20000000000000018</v>
      </c>
      <c r="R12" s="9">
        <f>'Hoteles Completo'!R12</f>
        <v>0.1646435452793833</v>
      </c>
      <c r="S12" s="9">
        <f>'Hoteles Completo'!S12</f>
        <v>0.03535645472061688</v>
      </c>
      <c r="T12" s="9">
        <f>'Hoteles Completo'!T12</f>
        <v>6.80655737704918</v>
      </c>
      <c r="U12" s="9">
        <f>'Hoteles Completo'!U12</f>
        <v>16.137128612395312</v>
      </c>
      <c r="V12" s="9">
        <f>'Hoteles Completo'!V12</f>
        <v>0</v>
      </c>
      <c r="W12" s="9">
        <f>'Hoteles Completo'!W12</f>
        <v>0</v>
      </c>
      <c r="X12" s="9">
        <f>'Hoteles Completo'!X12</f>
        <v>0</v>
      </c>
      <c r="Y12" s="9">
        <f>'Hoteles Completo'!Y12</f>
        <v>0</v>
      </c>
      <c r="Z12" s="9">
        <f>'Hoteles Completo'!Z12</f>
        <v>0.2147454651843183</v>
      </c>
      <c r="AA12" s="9">
        <f>'Hoteles Completo'!AA12</f>
        <v>207.6</v>
      </c>
      <c r="AB12" s="9">
        <f>'Hoteles Completo'!AB12</f>
        <v>207.6</v>
      </c>
      <c r="AC12" s="9">
        <f>'Hoteles Completo'!AC12</f>
        <v>207.6</v>
      </c>
      <c r="AD12" s="9">
        <f>'Hoteles Completo'!AD12</f>
        <v>207.6</v>
      </c>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row>
    <row r="13">
      <c r="A13" s="10">
        <f>'Hoteles Completo'!A13</f>
        <v>79</v>
      </c>
      <c r="B13" t="str">
        <f>'Hoteles Completo'!B13</f>
        <v>Hotel</v>
      </c>
      <c r="C13" t="str">
        <f>'Hoteles Completo'!C13</f>
        <v>Plácido y Grata Hotel Boutique</v>
      </c>
      <c r="D13" t="str">
        <f>'Hoteles Completo'!D13</f>
        <v>Tripadvisor</v>
      </c>
      <c r="E13" s="9">
        <f>'Hoteles Completo'!E13</f>
        <v>295</v>
      </c>
      <c r="F13" s="9">
        <f>'Hoteles Completo'!F13</f>
        <v>215</v>
      </c>
      <c r="G13" s="9">
        <f>'Hoteles Completo'!G13</f>
        <v>4.5</v>
      </c>
      <c r="H13" s="9">
        <f>'Hoteles Completo'!H13</f>
        <v>4.9</v>
      </c>
      <c r="I13" s="9">
        <f>'Hoteles Completo'!I13</f>
        <v>4.6686274509803924</v>
      </c>
      <c r="J13" s="9">
        <f>'Hoteles Completo'!J13</f>
        <v>1</v>
      </c>
      <c r="K13" s="9">
        <f>'Hoteles Completo'!K13</f>
        <v>12</v>
      </c>
      <c r="L13" s="9">
        <f>'Hoteles Completo'!L13</f>
        <v>0</v>
      </c>
      <c r="M13" s="9">
        <f>'Hoteles Completo'!M13</f>
        <v>0</v>
      </c>
      <c r="N13" s="9">
        <f>'Hoteles Completo'!N13</f>
        <v>0</v>
      </c>
      <c r="O13" s="9">
        <f>'Hoteles Completo'!O13</f>
        <v>0</v>
      </c>
      <c r="P13" s="9">
        <f>'Hoteles Completo'!P13</f>
        <v>801</v>
      </c>
      <c r="Q13" s="9">
        <f>'Hoteles Completo'!Q13</f>
        <v>0.40000000000000036</v>
      </c>
      <c r="R13" s="9">
        <f>'Hoteles Completo'!R13</f>
        <v>0.16862745098039245</v>
      </c>
      <c r="S13" s="9">
        <f>'Hoteles Completo'!S13</f>
        <v>0.2313725490196079</v>
      </c>
      <c r="T13" s="9">
        <f>'Hoteles Completo'!T13</f>
        <v>0.6367041198501873</v>
      </c>
      <c r="U13" s="9">
        <f>'Hoteles Completo'!U13</f>
        <v>12.64063644958664</v>
      </c>
      <c r="V13" s="9">
        <f>'Hoteles Completo'!V13</f>
        <v>0</v>
      </c>
      <c r="W13" s="9">
        <f>'Hoteles Completo'!W13</f>
        <v>0</v>
      </c>
      <c r="X13" s="9">
        <f>'Hoteles Completo'!X13</f>
        <v>0</v>
      </c>
      <c r="Y13" s="9">
        <f>'Hoteles Completo'!Y13</f>
        <v>0</v>
      </c>
      <c r="Z13" s="9">
        <f>'Hoteles Completo'!Z13</f>
        <v>1.372093023255814</v>
      </c>
      <c r="AA13" s="9">
        <f>'Hoteles Completo'!AA13</f>
        <v>51</v>
      </c>
      <c r="AB13" s="9">
        <f>'Hoteles Completo'!AB13</f>
        <v>51</v>
      </c>
      <c r="AC13" s="9">
        <f>'Hoteles Completo'!AC13</f>
        <v>51</v>
      </c>
      <c r="AD13" s="9">
        <f>'Hoteles Completo'!AD13</f>
        <v>51</v>
      </c>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row>
    <row r="14">
      <c r="A14" s="10">
        <f>'Hoteles Completo'!A14</f>
        <v>80</v>
      </c>
      <c r="B14" t="str">
        <f>'Hoteles Completo'!B14</f>
        <v>Hotel</v>
      </c>
      <c r="C14" t="str">
        <f>'Hoteles Completo'!C14</f>
        <v>Hotel Colón Gran Meliá</v>
      </c>
      <c r="D14" t="str">
        <f>'Hoteles Completo'!D14</f>
        <v>Tripadvisor</v>
      </c>
      <c r="E14" s="9">
        <f>'Hoteles Completo'!E14</f>
        <v>2037</v>
      </c>
      <c r="F14" s="9">
        <f>'Hoteles Completo'!F14</f>
        <v>3792</v>
      </c>
      <c r="G14" s="9">
        <f>'Hoteles Completo'!G14</f>
        <v>4.6</v>
      </c>
      <c r="H14" s="9">
        <f>'Hoteles Completo'!H14</f>
        <v>4.6</v>
      </c>
      <c r="I14" s="9">
        <f>'Hoteles Completo'!I14</f>
        <v>4.599999999999999</v>
      </c>
      <c r="J14" s="9">
        <f>'Hoteles Completo'!J14</f>
        <v>1</v>
      </c>
      <c r="K14" s="9">
        <f>'Hoteles Completo'!K14</f>
        <v>13</v>
      </c>
      <c r="L14" s="9">
        <f>'Hoteles Completo'!L14</f>
        <v>0</v>
      </c>
      <c r="M14" s="9">
        <f>'Hoteles Completo'!M14</f>
        <v>25</v>
      </c>
      <c r="N14" s="9">
        <f>'Hoteles Completo'!N14</f>
        <v>0</v>
      </c>
      <c r="O14" s="9">
        <f>'Hoteles Completo'!O14</f>
        <v>10</v>
      </c>
      <c r="P14" s="9">
        <f>'Hoteles Completo'!P14</f>
        <v>740</v>
      </c>
      <c r="Q14" s="9">
        <f>'Hoteles Completo'!Q14</f>
        <v>0</v>
      </c>
      <c r="R14" s="9">
        <f>'Hoteles Completo'!R14</f>
        <v>8.881784197001252E-16</v>
      </c>
      <c r="S14" s="9">
        <f>'Hoteles Completo'!S14</f>
        <v>8.881784197001252E-16</v>
      </c>
      <c r="T14" s="9">
        <f>'Hoteles Completo'!T14</f>
        <v>7.877027027027027</v>
      </c>
      <c r="U14" s="9">
        <f>'Hoteles Completo'!U14</f>
        <v>17.321732654469443</v>
      </c>
      <c r="V14" s="9">
        <f>'Hoteles Completo'!V14</f>
        <v>0</v>
      </c>
      <c r="W14" s="9">
        <f>'Hoteles Completo'!W14</f>
        <v>3.3783783783783785</v>
      </c>
      <c r="X14" s="9">
        <f>'Hoteles Completo'!X14</f>
        <v>0</v>
      </c>
      <c r="Y14" s="9">
        <f>'Hoteles Completo'!Y14</f>
        <v>1.3513513513513513</v>
      </c>
      <c r="Z14" s="9">
        <f>'Hoteles Completo'!Z14</f>
        <v>0.5371835443037974</v>
      </c>
      <c r="AA14" s="9">
        <f>'Hoteles Completo'!AA14</f>
        <v>582.9</v>
      </c>
      <c r="AB14" s="9">
        <f>'Hoteles Completo'!AB14</f>
        <v>2.3223107569721115</v>
      </c>
      <c r="AC14" s="9">
        <f>'Hoteles Completo'!AC14</f>
        <v>582.9</v>
      </c>
      <c r="AD14" s="9">
        <f>'Hoteles Completo'!AD14</f>
        <v>5.7712871287128715</v>
      </c>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row>
    <row r="15">
      <c r="A15" s="10">
        <f>'Hoteles Completo'!A15</f>
        <v>81</v>
      </c>
      <c r="B15" t="str">
        <f>'Hoteles Completo'!B15</f>
        <v>Hotel</v>
      </c>
      <c r="C15" t="str">
        <f>'Hoteles Completo'!C15</f>
        <v>Joya Del Casco Boutique Hotel</v>
      </c>
      <c r="D15" t="str">
        <f>'Hoteles Completo'!D15</f>
        <v>Tripadvisor</v>
      </c>
      <c r="E15" s="9">
        <f>'Hoteles Completo'!E15</f>
        <v>398</v>
      </c>
      <c r="F15" s="9">
        <f>'Hoteles Completo'!F15</f>
        <v>363</v>
      </c>
      <c r="G15" s="9">
        <f>'Hoteles Completo'!G15</f>
        <v>4.8</v>
      </c>
      <c r="H15" s="9">
        <f>'Hoteles Completo'!H15</f>
        <v>4.9</v>
      </c>
      <c r="I15" s="9">
        <f>'Hoteles Completo'!I15</f>
        <v>4.847700394218134</v>
      </c>
      <c r="J15" s="9">
        <f>'Hoteles Completo'!J15</f>
        <v>1</v>
      </c>
      <c r="K15" s="9">
        <f>'Hoteles Completo'!K15</f>
        <v>14</v>
      </c>
      <c r="L15" s="9">
        <f>'Hoteles Completo'!L15</f>
        <v>0</v>
      </c>
      <c r="M15" s="9">
        <f>'Hoteles Completo'!M15</f>
        <v>0</v>
      </c>
      <c r="N15" s="9">
        <f>'Hoteles Completo'!N15</f>
        <v>0</v>
      </c>
      <c r="O15" s="9">
        <f>'Hoteles Completo'!O15</f>
        <v>0</v>
      </c>
      <c r="P15" s="9">
        <f>'Hoteles Completo'!P15</f>
        <v>207</v>
      </c>
      <c r="Q15" s="9">
        <f>'Hoteles Completo'!Q15</f>
        <v>0.10000000000000053</v>
      </c>
      <c r="R15" s="9">
        <f>'Hoteles Completo'!R15</f>
        <v>0.047700394218134434</v>
      </c>
      <c r="S15" s="9">
        <f>'Hoteles Completo'!S15</f>
        <v>0.0522996057818661</v>
      </c>
      <c r="T15" s="9">
        <f>'Hoteles Completo'!T15</f>
        <v>3.676328502415459</v>
      </c>
      <c r="U15" s="9">
        <f>'Hoteles Completo'!U15</f>
        <v>13.96808953652079</v>
      </c>
      <c r="V15" s="9">
        <f>'Hoteles Completo'!V15</f>
        <v>0</v>
      </c>
      <c r="W15" s="9">
        <f>'Hoteles Completo'!W15</f>
        <v>0</v>
      </c>
      <c r="X15" s="9">
        <f>'Hoteles Completo'!X15</f>
        <v>0</v>
      </c>
      <c r="Y15" s="9">
        <f>'Hoteles Completo'!Y15</f>
        <v>0</v>
      </c>
      <c r="Z15" s="9">
        <f>'Hoteles Completo'!Z15</f>
        <v>1.0964187327823691</v>
      </c>
      <c r="AA15" s="9">
        <f>'Hoteles Completo'!AA15</f>
        <v>76.1</v>
      </c>
      <c r="AB15" s="9">
        <f>'Hoteles Completo'!AB15</f>
        <v>76.1</v>
      </c>
      <c r="AC15" s="9">
        <f>'Hoteles Completo'!AC15</f>
        <v>76.1</v>
      </c>
      <c r="AD15" s="9">
        <f>'Hoteles Completo'!AD15</f>
        <v>76.1</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c r="A16" s="10">
        <f>'Hoteles Completo'!A16</f>
        <v>82</v>
      </c>
      <c r="B16" t="str">
        <f>'Hoteles Completo'!B16</f>
        <v>Hotel</v>
      </c>
      <c r="C16" t="str">
        <f>'Hoteles Completo'!C16</f>
        <v>Hotel Becquer</v>
      </c>
      <c r="D16" t="str">
        <f>'Hoteles Completo'!D16</f>
        <v>Tripadvisor</v>
      </c>
      <c r="E16" s="9">
        <f>'Hoteles Completo'!E16</f>
        <v>3253</v>
      </c>
      <c r="F16" s="9">
        <f>'Hoteles Completo'!F16</f>
        <v>7509</v>
      </c>
      <c r="G16" s="9">
        <f>'Hoteles Completo'!G16</f>
        <v>4.6</v>
      </c>
      <c r="H16" s="9">
        <f>'Hoteles Completo'!H16</f>
        <v>4.5</v>
      </c>
      <c r="I16" s="9">
        <f>'Hoteles Completo'!I16</f>
        <v>4.530226723657313</v>
      </c>
      <c r="J16" s="9">
        <f>'Hoteles Completo'!J16</f>
        <v>1</v>
      </c>
      <c r="K16" s="9">
        <f>'Hoteles Completo'!K16</f>
        <v>15</v>
      </c>
      <c r="L16" s="9">
        <f>'Hoteles Completo'!L16</f>
        <v>0</v>
      </c>
      <c r="M16" s="9">
        <f>'Hoteles Completo'!M16</f>
        <v>20</v>
      </c>
      <c r="N16" s="9">
        <f>'Hoteles Completo'!N16</f>
        <v>0</v>
      </c>
      <c r="O16" s="9">
        <f>'Hoteles Completo'!O16</f>
        <v>8</v>
      </c>
      <c r="P16" s="9">
        <f>'Hoteles Completo'!P16</f>
        <v>732</v>
      </c>
      <c r="Q16" s="9">
        <f>'Hoteles Completo'!Q16</f>
        <v>0.09999999999999964</v>
      </c>
      <c r="R16" s="9">
        <f>'Hoteles Completo'!R16</f>
        <v>0.06977327634268704</v>
      </c>
      <c r="S16" s="9">
        <f>'Hoteles Completo'!S16</f>
        <v>0.030226723657312604</v>
      </c>
      <c r="T16" s="9">
        <f>'Hoteles Completo'!T16</f>
        <v>14.702185792349727</v>
      </c>
      <c r="U16" s="9">
        <f>'Hoteles Completo'!U16</f>
        <v>18.26538935985252</v>
      </c>
      <c r="V16" s="9">
        <f>'Hoteles Completo'!V16</f>
        <v>0</v>
      </c>
      <c r="W16" s="9">
        <f>'Hoteles Completo'!W16</f>
        <v>2.73224043715847</v>
      </c>
      <c r="X16" s="9">
        <f>'Hoteles Completo'!X16</f>
        <v>0</v>
      </c>
      <c r="Y16" s="9">
        <f>'Hoteles Completo'!Y16</f>
        <v>1.092896174863388</v>
      </c>
      <c r="Z16" s="9">
        <f>'Hoteles Completo'!Z16</f>
        <v>0.43321347716074043</v>
      </c>
      <c r="AA16" s="9">
        <f>'Hoteles Completo'!AA16</f>
        <v>1076.2</v>
      </c>
      <c r="AB16" s="9">
        <f>'Hoteles Completo'!AB16</f>
        <v>5.354228855721393</v>
      </c>
      <c r="AC16" s="9">
        <f>'Hoteles Completo'!AC16</f>
        <v>1076.2</v>
      </c>
      <c r="AD16" s="9">
        <f>'Hoteles Completo'!AD16</f>
        <v>13.28641975308642</v>
      </c>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row>
    <row r="17">
      <c r="A17" s="10">
        <f>'Hoteles Completo'!A17</f>
        <v>83</v>
      </c>
      <c r="B17" t="str">
        <f>'Hoteles Completo'!B17</f>
        <v>Hotel</v>
      </c>
      <c r="C17" t="str">
        <f>'Hoteles Completo'!C17</f>
        <v>Vincci Selección Unuk</v>
      </c>
      <c r="D17" t="str">
        <f>'Hoteles Completo'!D17</f>
        <v>Tripadvisor</v>
      </c>
      <c r="E17" s="9">
        <f>'Hoteles Completo'!E17</f>
        <v>472</v>
      </c>
      <c r="F17" s="9">
        <f>'Hoteles Completo'!F17</f>
        <v>439</v>
      </c>
      <c r="G17" s="9">
        <f>'Hoteles Completo'!G17</f>
        <v>4.7</v>
      </c>
      <c r="H17" s="9">
        <f>'Hoteles Completo'!H17</f>
        <v>4.8</v>
      </c>
      <c r="I17" s="9">
        <f>'Hoteles Completo'!I17</f>
        <v>4.748188803512624</v>
      </c>
      <c r="J17" s="9">
        <f>'Hoteles Completo'!J17</f>
        <v>1</v>
      </c>
      <c r="K17" s="9">
        <f>'Hoteles Completo'!K17</f>
        <v>16</v>
      </c>
      <c r="L17" s="9">
        <f>'Hoteles Completo'!L17</f>
        <v>0</v>
      </c>
      <c r="M17" s="9">
        <f>'Hoteles Completo'!M17</f>
        <v>0</v>
      </c>
      <c r="N17" s="9">
        <f>'Hoteles Completo'!N17</f>
        <v>16</v>
      </c>
      <c r="O17" s="9">
        <f>'Hoteles Completo'!O17</f>
        <v>1.6</v>
      </c>
      <c r="P17" s="9">
        <f>'Hoteles Completo'!P17</f>
        <v>623</v>
      </c>
      <c r="Q17" s="9">
        <f>'Hoteles Completo'!Q17</f>
        <v>0.09999999999999964</v>
      </c>
      <c r="R17" s="9">
        <f>'Hoteles Completo'!R17</f>
        <v>0.04818880351262411</v>
      </c>
      <c r="S17" s="9">
        <f>'Hoteles Completo'!S17</f>
        <v>0.05181119648737553</v>
      </c>
      <c r="T17" s="9">
        <f>'Hoteles Completo'!T17</f>
        <v>1.4622792937399678</v>
      </c>
      <c r="U17" s="9">
        <f>'Hoteles Completo'!U17</f>
        <v>14.052352021333045</v>
      </c>
      <c r="V17" s="9">
        <f>'Hoteles Completo'!V17</f>
        <v>0</v>
      </c>
      <c r="W17" s="9">
        <f>'Hoteles Completo'!W17</f>
        <v>0</v>
      </c>
      <c r="X17" s="9">
        <f>'Hoteles Completo'!X17</f>
        <v>2.568218298555377</v>
      </c>
      <c r="Y17" s="9">
        <f>'Hoteles Completo'!Y17</f>
        <v>0.2568218298555377</v>
      </c>
      <c r="Z17" s="9">
        <f>'Hoteles Completo'!Z17</f>
        <v>1.0751708428246014</v>
      </c>
      <c r="AA17" s="9">
        <f>'Hoteles Completo'!AA17</f>
        <v>91.1</v>
      </c>
      <c r="AB17" s="9">
        <f>'Hoteles Completo'!AB17</f>
        <v>91.1</v>
      </c>
      <c r="AC17" s="9">
        <f>'Hoteles Completo'!AC17</f>
        <v>0.5658385093167702</v>
      </c>
      <c r="AD17" s="9">
        <f>'Hoteles Completo'!AD17</f>
        <v>5.358823529411764</v>
      </c>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c r="A18" s="10">
        <f>'Hoteles Completo'!A18</f>
        <v>84</v>
      </c>
      <c r="B18" t="str">
        <f>'Hoteles Completo'!B18</f>
        <v>Hotel</v>
      </c>
      <c r="C18" t="str">
        <f>'Hoteles Completo'!C18</f>
        <v>Hotel Posada del Lucero</v>
      </c>
      <c r="D18" t="str">
        <f>'Hoteles Completo'!D18</f>
        <v>Tripadvisor</v>
      </c>
      <c r="E18" s="9">
        <f>'Hoteles Completo'!E18</f>
        <v>992</v>
      </c>
      <c r="F18" s="9">
        <f>'Hoteles Completo'!F18</f>
        <v>1609</v>
      </c>
      <c r="G18" s="9">
        <f>'Hoteles Completo'!G18</f>
        <v>4.7</v>
      </c>
      <c r="H18" s="9">
        <f>'Hoteles Completo'!H18</f>
        <v>4.5</v>
      </c>
      <c r="I18" s="9">
        <f>'Hoteles Completo'!I18</f>
        <v>4.576278354479047</v>
      </c>
      <c r="J18" s="9">
        <f>'Hoteles Completo'!J18</f>
        <v>1</v>
      </c>
      <c r="K18" s="9">
        <f>'Hoteles Completo'!K18</f>
        <v>17</v>
      </c>
      <c r="L18" s="9">
        <f>'Hoteles Completo'!L18</f>
        <v>0</v>
      </c>
      <c r="M18" s="9">
        <f>'Hoteles Completo'!M18</f>
        <v>0</v>
      </c>
      <c r="N18" s="9">
        <f>'Hoteles Completo'!N18</f>
        <v>0</v>
      </c>
      <c r="O18" s="9">
        <f>'Hoteles Completo'!O18</f>
        <v>0</v>
      </c>
      <c r="P18" s="9">
        <f>'Hoteles Completo'!P18</f>
        <v>799</v>
      </c>
      <c r="Q18" s="9">
        <f>'Hoteles Completo'!Q18</f>
        <v>0.20000000000000018</v>
      </c>
      <c r="R18" s="9">
        <f>'Hoteles Completo'!R18</f>
        <v>0.12372164552095288</v>
      </c>
      <c r="S18" s="9">
        <f>'Hoteles Completo'!S18</f>
        <v>0.0762783544790473</v>
      </c>
      <c r="T18" s="9">
        <f>'Hoteles Completo'!T18</f>
        <v>3.25531914893617</v>
      </c>
      <c r="U18" s="9">
        <f>'Hoteles Completo'!U18</f>
        <v>15.628632871261921</v>
      </c>
      <c r="V18" s="9">
        <f>'Hoteles Completo'!V18</f>
        <v>0</v>
      </c>
      <c r="W18" s="9">
        <f>'Hoteles Completo'!W18</f>
        <v>0</v>
      </c>
      <c r="X18" s="9">
        <f>'Hoteles Completo'!X18</f>
        <v>0</v>
      </c>
      <c r="Y18" s="9">
        <f>'Hoteles Completo'!Y18</f>
        <v>0</v>
      </c>
      <c r="Z18" s="9">
        <f>'Hoteles Completo'!Z18</f>
        <v>0.6165320074580485</v>
      </c>
      <c r="AA18" s="9">
        <f>'Hoteles Completo'!AA18</f>
        <v>260.1</v>
      </c>
      <c r="AB18" s="9">
        <f>'Hoteles Completo'!AB18</f>
        <v>260.1</v>
      </c>
      <c r="AC18" s="9">
        <f>'Hoteles Completo'!AC18</f>
        <v>260.1</v>
      </c>
      <c r="AD18" s="9">
        <f>'Hoteles Completo'!AD18</f>
        <v>260.1</v>
      </c>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row>
    <row r="19">
      <c r="A19" s="10">
        <f>'Hoteles Completo'!A19</f>
        <v>85</v>
      </c>
      <c r="B19" t="str">
        <f>'Hoteles Completo'!B19</f>
        <v>Hotel</v>
      </c>
      <c r="C19" t="str">
        <f>'Hoteles Completo'!C19</f>
        <v>Hotel Giralda Center</v>
      </c>
      <c r="D19" t="str">
        <f>'Hoteles Completo'!D19</f>
        <v>Tripadvisor</v>
      </c>
      <c r="E19" s="9">
        <f>'Hoteles Completo'!E19</f>
        <v>1322</v>
      </c>
      <c r="F19" s="9">
        <f>'Hoteles Completo'!F19</f>
        <v>598</v>
      </c>
      <c r="G19" s="9">
        <f>'Hoteles Completo'!G19</f>
        <v>4.6</v>
      </c>
      <c r="H19" s="9">
        <f>'Hoteles Completo'!H19</f>
        <v>4.7</v>
      </c>
      <c r="I19" s="9">
        <f>'Hoteles Completo'!I19</f>
        <v>4.631145833333333</v>
      </c>
      <c r="J19" s="9">
        <f>'Hoteles Completo'!J19</f>
        <v>1</v>
      </c>
      <c r="K19" s="9">
        <f>'Hoteles Completo'!K19</f>
        <v>18</v>
      </c>
      <c r="L19" s="9">
        <f>'Hoteles Completo'!L19</f>
        <v>0</v>
      </c>
      <c r="M19" s="9">
        <f>'Hoteles Completo'!M19</f>
        <v>0</v>
      </c>
      <c r="N19" s="9">
        <f>'Hoteles Completo'!N19</f>
        <v>0</v>
      </c>
      <c r="O19" s="9">
        <f>'Hoteles Completo'!O19</f>
        <v>0</v>
      </c>
      <c r="P19" s="9">
        <f>'Hoteles Completo'!P19</f>
        <v>1010</v>
      </c>
      <c r="Q19" s="9">
        <f>'Hoteles Completo'!Q19</f>
        <v>0.10000000000000053</v>
      </c>
      <c r="R19" s="9">
        <f>'Hoteles Completo'!R19</f>
        <v>0.031145833333333428</v>
      </c>
      <c r="S19" s="9">
        <f>'Hoteles Completo'!S19</f>
        <v>0.0688541666666671</v>
      </c>
      <c r="T19" s="9">
        <f>'Hoteles Completo'!T19</f>
        <v>1.900990099009901</v>
      </c>
      <c r="U19" s="9">
        <f>'Hoteles Completo'!U19</f>
        <v>15.205446804888657</v>
      </c>
      <c r="V19" s="9">
        <f>'Hoteles Completo'!V19</f>
        <v>0</v>
      </c>
      <c r="W19" s="9">
        <f>'Hoteles Completo'!W19</f>
        <v>0</v>
      </c>
      <c r="X19" s="9">
        <f>'Hoteles Completo'!X19</f>
        <v>0</v>
      </c>
      <c r="Y19" s="9">
        <f>'Hoteles Completo'!Y19</f>
        <v>0</v>
      </c>
      <c r="Z19" s="9">
        <f>'Hoteles Completo'!Z19</f>
        <v>2.210702341137124</v>
      </c>
      <c r="AA19" s="9">
        <f>'Hoteles Completo'!AA19</f>
        <v>192</v>
      </c>
      <c r="AB19" s="9">
        <f>'Hoteles Completo'!AB19</f>
        <v>192</v>
      </c>
      <c r="AC19" s="9">
        <f>'Hoteles Completo'!AC19</f>
        <v>192</v>
      </c>
      <c r="AD19" s="9">
        <f>'Hoteles Completo'!AD19</f>
        <v>192</v>
      </c>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row>
    <row r="20">
      <c r="A20" s="10">
        <f>'Hoteles Completo'!A20</f>
        <v>86</v>
      </c>
      <c r="B20" t="str">
        <f>'Hoteles Completo'!B20</f>
        <v>Hotel</v>
      </c>
      <c r="C20" t="str">
        <f>'Hoteles Completo'!C20</f>
        <v>Legado Alcazar</v>
      </c>
      <c r="D20" t="str">
        <f>'Hoteles Completo'!D20</f>
        <v>Tripadvisor</v>
      </c>
      <c r="E20" s="9">
        <f>'Hoteles Completo'!E20</f>
        <v>321</v>
      </c>
      <c r="F20" s="9">
        <f>'Hoteles Completo'!F20</f>
        <v>335</v>
      </c>
      <c r="G20" s="9">
        <f>'Hoteles Completo'!G20</f>
        <v>4.7</v>
      </c>
      <c r="H20" s="9">
        <f>'Hoteles Completo'!H20</f>
        <v>4.8</v>
      </c>
      <c r="I20" s="9">
        <f>'Hoteles Completo'!I20</f>
        <v>4.751067073170732</v>
      </c>
      <c r="J20" s="9">
        <f>'Hoteles Completo'!J20</f>
        <v>1</v>
      </c>
      <c r="K20" s="9">
        <f>'Hoteles Completo'!K20</f>
        <v>19</v>
      </c>
      <c r="L20" s="9">
        <f>'Hoteles Completo'!L20</f>
        <v>0</v>
      </c>
      <c r="M20" s="9">
        <f>'Hoteles Completo'!M20</f>
        <v>0</v>
      </c>
      <c r="N20" s="9">
        <f>'Hoteles Completo'!N20</f>
        <v>0</v>
      </c>
      <c r="O20" s="9">
        <f>'Hoteles Completo'!O20</f>
        <v>0</v>
      </c>
      <c r="P20" s="9">
        <f>'Hoteles Completo'!P20</f>
        <v>346</v>
      </c>
      <c r="Q20" s="9">
        <f>'Hoteles Completo'!Q20</f>
        <v>0.09999999999999964</v>
      </c>
      <c r="R20" s="9">
        <f>'Hoteles Completo'!R20</f>
        <v>0.05106707317073145</v>
      </c>
      <c r="S20" s="9">
        <f>'Hoteles Completo'!S20</f>
        <v>0.0489329268292682</v>
      </c>
      <c r="T20" s="9">
        <f>'Hoteles Completo'!T20</f>
        <v>1.8959537572254335</v>
      </c>
      <c r="U20" s="9">
        <f>'Hoteles Completo'!U20</f>
        <v>13.383299079545916</v>
      </c>
      <c r="V20" s="9">
        <f>'Hoteles Completo'!V20</f>
        <v>0</v>
      </c>
      <c r="W20" s="9">
        <f>'Hoteles Completo'!W20</f>
        <v>0</v>
      </c>
      <c r="X20" s="9">
        <f>'Hoteles Completo'!X20</f>
        <v>0</v>
      </c>
      <c r="Y20" s="9">
        <f>'Hoteles Completo'!Y20</f>
        <v>0</v>
      </c>
      <c r="Z20" s="9">
        <f>'Hoteles Completo'!Z20</f>
        <v>0.9582089552238806</v>
      </c>
      <c r="AA20" s="9">
        <f>'Hoteles Completo'!AA20</f>
        <v>65.6</v>
      </c>
      <c r="AB20" s="9">
        <f>'Hoteles Completo'!AB20</f>
        <v>65.6</v>
      </c>
      <c r="AC20" s="9">
        <f>'Hoteles Completo'!AC20</f>
        <v>65.6</v>
      </c>
      <c r="AD20" s="9">
        <f>'Hoteles Completo'!AD20</f>
        <v>65.6</v>
      </c>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row>
    <row r="21">
      <c r="A21" s="10">
        <f>'Hoteles Completo'!A21</f>
        <v>87</v>
      </c>
      <c r="B21" t="str">
        <f>'Hoteles Completo'!B21</f>
        <v>Hotel</v>
      </c>
      <c r="C21" t="str">
        <f>'Hoteles Completo'!C21</f>
        <v>Hospes Las Casas del Rey de Baeza</v>
      </c>
      <c r="D21" t="str">
        <f>'Hoteles Completo'!D21</f>
        <v>Tripadvisor</v>
      </c>
      <c r="E21" s="9">
        <f>'Hoteles Completo'!E21</f>
        <v>977</v>
      </c>
      <c r="F21" s="9">
        <f>'Hoteles Completo'!F21</f>
        <v>1597</v>
      </c>
      <c r="G21" s="9">
        <f>'Hoteles Completo'!G21</f>
        <v>4.6</v>
      </c>
      <c r="H21" s="9">
        <f>'Hoteles Completo'!H21</f>
        <v>4.4</v>
      </c>
      <c r="I21" s="9">
        <f>'Hoteles Completo'!I21</f>
        <v>4.475912975912976</v>
      </c>
      <c r="J21" s="9">
        <f>'Hoteles Completo'!J21</f>
        <v>1</v>
      </c>
      <c r="K21" s="9">
        <f>'Hoteles Completo'!K21</f>
        <v>20</v>
      </c>
      <c r="L21" s="9">
        <f>'Hoteles Completo'!L21</f>
        <v>0</v>
      </c>
      <c r="M21" s="9">
        <f>'Hoteles Completo'!M21</f>
        <v>0</v>
      </c>
      <c r="N21" s="9">
        <f>'Hoteles Completo'!N21</f>
        <v>0</v>
      </c>
      <c r="O21" s="9">
        <f>'Hoteles Completo'!O21</f>
        <v>0</v>
      </c>
      <c r="P21" s="9">
        <f>'Hoteles Completo'!P21</f>
        <v>778</v>
      </c>
      <c r="Q21" s="9">
        <f>'Hoteles Completo'!Q21</f>
        <v>0.1999999999999993</v>
      </c>
      <c r="R21" s="9">
        <f>'Hoteles Completo'!R21</f>
        <v>0.12408702408702332</v>
      </c>
      <c r="S21" s="9">
        <f>'Hoteles Completo'!S21</f>
        <v>0.07591297591297597</v>
      </c>
      <c r="T21" s="9">
        <f>'Hoteles Completo'!T21</f>
        <v>3.308483290488432</v>
      </c>
      <c r="U21" s="9">
        <f>'Hoteles Completo'!U21</f>
        <v>15.265587031441402</v>
      </c>
      <c r="V21" s="9">
        <f>'Hoteles Completo'!V21</f>
        <v>0</v>
      </c>
      <c r="W21" s="9">
        <f>'Hoteles Completo'!W21</f>
        <v>0</v>
      </c>
      <c r="X21" s="9">
        <f>'Hoteles Completo'!X21</f>
        <v>0</v>
      </c>
      <c r="Y21" s="9">
        <f>'Hoteles Completo'!Y21</f>
        <v>0</v>
      </c>
      <c r="Z21" s="9">
        <f>'Hoteles Completo'!Z21</f>
        <v>0.6117720726361928</v>
      </c>
      <c r="AA21" s="9">
        <f>'Hoteles Completo'!AA21</f>
        <v>257.4</v>
      </c>
      <c r="AB21" s="9">
        <f>'Hoteles Completo'!AB21</f>
        <v>257.4</v>
      </c>
      <c r="AC21" s="9">
        <f>'Hoteles Completo'!AC21</f>
        <v>257.4</v>
      </c>
      <c r="AD21" s="9">
        <f>'Hoteles Completo'!AD21</f>
        <v>257.4</v>
      </c>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row>
    <row r="22">
      <c r="A22" s="10">
        <f>'Hoteles Completo'!A22</f>
        <v>88</v>
      </c>
      <c r="B22" t="str">
        <f>'Hoteles Completo'!B22</f>
        <v>Hotel</v>
      </c>
      <c r="C22" t="str">
        <f>'Hoteles Completo'!C22</f>
        <v>Hotel Vincci Molviedro</v>
      </c>
      <c r="D22" t="str">
        <f>'Hoteles Completo'!D22</f>
        <v>Tripadvisor</v>
      </c>
      <c r="E22" s="9">
        <f>'Hoteles Completo'!E22</f>
        <v>718</v>
      </c>
      <c r="F22" s="9">
        <f>'Hoteles Completo'!F22</f>
        <v>522</v>
      </c>
      <c r="G22" s="9">
        <f>'Hoteles Completo'!G22</f>
        <v>4.8</v>
      </c>
      <c r="H22" s="9">
        <f>'Hoteles Completo'!H22</f>
        <v>4.8</v>
      </c>
      <c r="I22" s="9">
        <f>'Hoteles Completo'!I22</f>
        <v>4.8</v>
      </c>
      <c r="J22" s="9">
        <f>'Hoteles Completo'!J22</f>
        <v>1</v>
      </c>
      <c r="K22" s="9">
        <f>'Hoteles Completo'!K22</f>
        <v>21</v>
      </c>
      <c r="L22" s="9">
        <f>'Hoteles Completo'!L22</f>
        <v>0</v>
      </c>
      <c r="M22" s="9">
        <f>'Hoteles Completo'!M22</f>
        <v>0</v>
      </c>
      <c r="N22" s="9">
        <f>'Hoteles Completo'!N22</f>
        <v>0</v>
      </c>
      <c r="O22" s="9">
        <f>'Hoteles Completo'!O22</f>
        <v>0</v>
      </c>
      <c r="P22" s="9">
        <f>'Hoteles Completo'!P22</f>
        <v>527</v>
      </c>
      <c r="Q22" s="9">
        <f>'Hoteles Completo'!Q22</f>
        <v>0</v>
      </c>
      <c r="R22" s="9">
        <f>'Hoteles Completo'!R22</f>
        <v>0</v>
      </c>
      <c r="S22" s="9">
        <f>'Hoteles Completo'!S22</f>
        <v>0</v>
      </c>
      <c r="T22" s="9">
        <f>'Hoteles Completo'!T22</f>
        <v>2.3529411764705883</v>
      </c>
      <c r="U22" s="9">
        <f>'Hoteles Completo'!U22</f>
        <v>14.848424088778728</v>
      </c>
      <c r="V22" s="9">
        <f>'Hoteles Completo'!V22</f>
        <v>0</v>
      </c>
      <c r="W22" s="9">
        <f>'Hoteles Completo'!W22</f>
        <v>0</v>
      </c>
      <c r="X22" s="9">
        <f>'Hoteles Completo'!X22</f>
        <v>0</v>
      </c>
      <c r="Y22" s="9">
        <f>'Hoteles Completo'!Y22</f>
        <v>0</v>
      </c>
      <c r="Z22" s="9">
        <f>'Hoteles Completo'!Z22</f>
        <v>1.3754789272030652</v>
      </c>
      <c r="AA22" s="9">
        <f>'Hoteles Completo'!AA22</f>
        <v>124</v>
      </c>
      <c r="AB22" s="9">
        <f>'Hoteles Completo'!AB22</f>
        <v>124</v>
      </c>
      <c r="AC22" s="9">
        <f>'Hoteles Completo'!AC22</f>
        <v>124</v>
      </c>
      <c r="AD22" s="9">
        <f>'Hoteles Completo'!AD22</f>
        <v>124</v>
      </c>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row>
    <row r="23">
      <c r="A23" s="10">
        <f>'Hoteles Completo'!A23</f>
        <v>89</v>
      </c>
      <c r="B23" t="str">
        <f>'Hoteles Completo'!B23</f>
        <v>Hotel</v>
      </c>
      <c r="C23" t="str">
        <f>'Hoteles Completo'!C23</f>
        <v>El Rey Moro Hotel Boutique</v>
      </c>
      <c r="D23" t="str">
        <f>'Hoteles Completo'!D23</f>
        <v>Tripadvisor</v>
      </c>
      <c r="E23" s="9">
        <f>'Hoteles Completo'!E23</f>
        <v>556</v>
      </c>
      <c r="F23" s="9">
        <f>'Hoteles Completo'!F23</f>
        <v>2438</v>
      </c>
      <c r="G23" s="9">
        <f>'Hoteles Completo'!G23</f>
        <v>4.7</v>
      </c>
      <c r="H23" s="9">
        <f>'Hoteles Completo'!H23</f>
        <v>4.6</v>
      </c>
      <c r="I23" s="9">
        <f>'Hoteles Completo'!I23</f>
        <v>4.618570474281897</v>
      </c>
      <c r="J23" s="9">
        <f>'Hoteles Completo'!J23</f>
        <v>1</v>
      </c>
      <c r="K23" s="9">
        <f>'Hoteles Completo'!K23</f>
        <v>22</v>
      </c>
      <c r="L23" s="9">
        <f>'Hoteles Completo'!L23</f>
        <v>0</v>
      </c>
      <c r="M23" s="9">
        <f>'Hoteles Completo'!M23</f>
        <v>0</v>
      </c>
      <c r="N23" s="9">
        <f>'Hoteles Completo'!N23</f>
        <v>0</v>
      </c>
      <c r="O23" s="9">
        <f>'Hoteles Completo'!O23</f>
        <v>0</v>
      </c>
      <c r="P23" s="9">
        <f>'Hoteles Completo'!P23</f>
        <v>266</v>
      </c>
      <c r="Q23" s="9">
        <f>'Hoteles Completo'!Q23</f>
        <v>0.10000000000000053</v>
      </c>
      <c r="R23" s="9">
        <f>'Hoteles Completo'!R23</f>
        <v>0.0814295257181028</v>
      </c>
      <c r="S23" s="9">
        <f>'Hoteles Completo'!S23</f>
        <v>0.01857047428189773</v>
      </c>
      <c r="T23" s="9">
        <f>'Hoteles Completo'!T23</f>
        <v>11.25563909774436</v>
      </c>
      <c r="U23" s="9">
        <f>'Hoteles Completo'!U23</f>
        <v>16.055313906207502</v>
      </c>
      <c r="V23" s="9">
        <f>'Hoteles Completo'!V23</f>
        <v>0</v>
      </c>
      <c r="W23" s="9">
        <f>'Hoteles Completo'!W23</f>
        <v>0</v>
      </c>
      <c r="X23" s="9">
        <f>'Hoteles Completo'!X23</f>
        <v>0</v>
      </c>
      <c r="Y23" s="9">
        <f>'Hoteles Completo'!Y23</f>
        <v>0</v>
      </c>
      <c r="Z23" s="9">
        <f>'Hoteles Completo'!Z23</f>
        <v>0.2280557834290402</v>
      </c>
      <c r="AA23" s="9">
        <f>'Hoteles Completo'!AA23</f>
        <v>299.4</v>
      </c>
      <c r="AB23" s="9">
        <f>'Hoteles Completo'!AB23</f>
        <v>299.4</v>
      </c>
      <c r="AC23" s="9">
        <f>'Hoteles Completo'!AC23</f>
        <v>299.4</v>
      </c>
      <c r="AD23" s="9">
        <f>'Hoteles Completo'!AD23</f>
        <v>299.4</v>
      </c>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row>
    <row r="24">
      <c r="A24" s="10">
        <f>'Hoteles Completo'!A24</f>
        <v>90</v>
      </c>
      <c r="B24" t="str">
        <f>'Hoteles Completo'!B24</f>
        <v>Hotel</v>
      </c>
      <c r="C24" t="str">
        <f>'Hoteles Completo'!C24</f>
        <v>Hotel Monte Carmelo</v>
      </c>
      <c r="D24" t="str">
        <f>'Hoteles Completo'!D24</f>
        <v>Tripadvisor</v>
      </c>
      <c r="E24" s="9">
        <f>'Hoteles Completo'!E24</f>
        <v>1146</v>
      </c>
      <c r="F24" s="9">
        <f>'Hoteles Completo'!F24</f>
        <v>1252</v>
      </c>
      <c r="G24" s="9">
        <f>'Hoteles Completo'!G24</f>
        <v>4.6</v>
      </c>
      <c r="H24" s="9">
        <f>'Hoteles Completo'!H24</f>
        <v>4.6</v>
      </c>
      <c r="I24" s="9">
        <f>'Hoteles Completo'!I24</f>
        <v>4.6</v>
      </c>
      <c r="J24" s="9">
        <f>'Hoteles Completo'!J24</f>
        <v>1</v>
      </c>
      <c r="K24" s="9">
        <f>'Hoteles Completo'!K24</f>
        <v>23</v>
      </c>
      <c r="L24" s="9">
        <f>'Hoteles Completo'!L24</f>
        <v>0</v>
      </c>
      <c r="M24" s="9">
        <f>'Hoteles Completo'!M24</f>
        <v>20</v>
      </c>
      <c r="N24" s="9">
        <f>'Hoteles Completo'!N24</f>
        <v>0</v>
      </c>
      <c r="O24" s="9">
        <f>'Hoteles Completo'!O24</f>
        <v>8</v>
      </c>
      <c r="P24" s="9">
        <f>'Hoteles Completo'!P24</f>
        <v>1120</v>
      </c>
      <c r="Q24" s="9">
        <f>'Hoteles Completo'!Q24</f>
        <v>0</v>
      </c>
      <c r="R24" s="9">
        <f>'Hoteles Completo'!R24</f>
        <v>0</v>
      </c>
      <c r="S24" s="9">
        <f>'Hoteles Completo'!S24</f>
        <v>0</v>
      </c>
      <c r="T24" s="9">
        <f>'Hoteles Completo'!T24</f>
        <v>2.1410714285714287</v>
      </c>
      <c r="U24" s="9">
        <f>'Hoteles Completo'!U24</f>
        <v>15.547306222309016</v>
      </c>
      <c r="V24" s="9">
        <f>'Hoteles Completo'!V24</f>
        <v>0</v>
      </c>
      <c r="W24" s="9">
        <f>'Hoteles Completo'!W24</f>
        <v>1.7857142857142856</v>
      </c>
      <c r="X24" s="9">
        <f>'Hoteles Completo'!X24</f>
        <v>0</v>
      </c>
      <c r="Y24" s="9">
        <f>'Hoteles Completo'!Y24</f>
        <v>0.7142857142857143</v>
      </c>
      <c r="Z24" s="9">
        <f>'Hoteles Completo'!Z24</f>
        <v>0.9153354632587859</v>
      </c>
      <c r="AA24" s="9">
        <f>'Hoteles Completo'!AA24</f>
        <v>239.8</v>
      </c>
      <c r="AB24" s="9">
        <f>'Hoteles Completo'!AB24</f>
        <v>1.1930348258706467</v>
      </c>
      <c r="AC24" s="9">
        <f>'Hoteles Completo'!AC24</f>
        <v>239.8</v>
      </c>
      <c r="AD24" s="9">
        <f>'Hoteles Completo'!AD24</f>
        <v>2.9604938271604944</v>
      </c>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row>
    <row r="25">
      <c r="A25" s="10">
        <f>'Hoteles Completo'!A25</f>
        <v>91</v>
      </c>
      <c r="B25" t="str">
        <f>'Hoteles Completo'!B25</f>
        <v>Hotel</v>
      </c>
      <c r="C25" t="str">
        <f>'Hoteles Completo'!C25</f>
        <v>Hotel Adriano Sevilla</v>
      </c>
      <c r="D25" t="str">
        <f>'Hoteles Completo'!D25</f>
        <v>Tripadvisor</v>
      </c>
      <c r="E25" s="9">
        <f>'Hoteles Completo'!E25</f>
        <v>749</v>
      </c>
      <c r="F25" s="9">
        <f>'Hoteles Completo'!F25</f>
        <v>1692</v>
      </c>
      <c r="G25" s="9">
        <f>'Hoteles Completo'!G25</f>
        <v>4.3</v>
      </c>
      <c r="H25" s="9">
        <f>'Hoteles Completo'!H25</f>
        <v>4.6</v>
      </c>
      <c r="I25" s="9">
        <f>'Hoteles Completo'!I25</f>
        <v>4.507947562474396</v>
      </c>
      <c r="J25" s="9">
        <f>'Hoteles Completo'!J25</f>
        <v>1</v>
      </c>
      <c r="K25" s="9">
        <f>'Hoteles Completo'!K25</f>
        <v>24</v>
      </c>
      <c r="L25" s="9">
        <f>'Hoteles Completo'!L25</f>
        <v>0</v>
      </c>
      <c r="M25" s="9">
        <f>'Hoteles Completo'!M25</f>
        <v>0</v>
      </c>
      <c r="N25" s="9">
        <f>'Hoteles Completo'!N25</f>
        <v>0</v>
      </c>
      <c r="O25" s="9">
        <f>'Hoteles Completo'!O25</f>
        <v>0</v>
      </c>
      <c r="P25" s="9">
        <f>'Hoteles Completo'!P25</f>
        <v>406</v>
      </c>
      <c r="Q25" s="9">
        <f>'Hoteles Completo'!Q25</f>
        <v>0.2999999999999998</v>
      </c>
      <c r="R25" s="9">
        <f>'Hoteles Completo'!R25</f>
        <v>0.20794756247439583</v>
      </c>
      <c r="S25" s="9">
        <f>'Hoteles Completo'!S25</f>
        <v>0.09205243752560399</v>
      </c>
      <c r="T25" s="9">
        <f>'Hoteles Completo'!T25</f>
        <v>6.012315270935961</v>
      </c>
      <c r="U25" s="9">
        <f>'Hoteles Completo'!U25</f>
        <v>15.270977913940518</v>
      </c>
      <c r="V25" s="9">
        <f>'Hoteles Completo'!V25</f>
        <v>0</v>
      </c>
      <c r="W25" s="9">
        <f>'Hoteles Completo'!W25</f>
        <v>0</v>
      </c>
      <c r="X25" s="9">
        <f>'Hoteles Completo'!X25</f>
        <v>0</v>
      </c>
      <c r="Y25" s="9">
        <f>'Hoteles Completo'!Y25</f>
        <v>0</v>
      </c>
      <c r="Z25" s="9">
        <f>'Hoteles Completo'!Z25</f>
        <v>0.4426713947990544</v>
      </c>
      <c r="AA25" s="9">
        <f>'Hoteles Completo'!AA25</f>
        <v>244.1</v>
      </c>
      <c r="AB25" s="9">
        <f>'Hoteles Completo'!AB25</f>
        <v>244.1</v>
      </c>
      <c r="AC25" s="9">
        <f>'Hoteles Completo'!AC25</f>
        <v>244.1</v>
      </c>
      <c r="AD25" s="9">
        <f>'Hoteles Completo'!AD25</f>
        <v>244.1</v>
      </c>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row>
    <row r="26">
      <c r="A26" s="10">
        <f>'Hoteles Completo'!A26</f>
        <v>92</v>
      </c>
      <c r="B26" t="str">
        <f>'Hoteles Completo'!B26</f>
        <v>Hotel</v>
      </c>
      <c r="C26" t="str">
        <f>'Hoteles Completo'!C26</f>
        <v>Hesperia Sevilla</v>
      </c>
      <c r="D26" t="str">
        <f>'Hoteles Completo'!D26</f>
        <v>Tripadvisor</v>
      </c>
      <c r="E26" s="9">
        <f>'Hoteles Completo'!E26</f>
        <v>4046</v>
      </c>
      <c r="F26" s="9">
        <f>'Hoteles Completo'!F26</f>
        <v>286</v>
      </c>
      <c r="G26" s="9">
        <f>'Hoteles Completo'!G26</f>
        <v>4.3</v>
      </c>
      <c r="H26" s="9">
        <f>'Hoteles Completo'!H26</f>
        <v>4.7</v>
      </c>
      <c r="I26" s="9">
        <f>'Hoteles Completo'!I26</f>
        <v>4.3264081255771005</v>
      </c>
      <c r="J26" s="9">
        <f>'Hoteles Completo'!J26</f>
        <v>1</v>
      </c>
      <c r="K26" s="9">
        <f>'Hoteles Completo'!K26</f>
        <v>25</v>
      </c>
      <c r="L26" s="9">
        <f>'Hoteles Completo'!L26</f>
        <v>100</v>
      </c>
      <c r="M26" s="9">
        <f>'Hoteles Completo'!M26</f>
        <v>95</v>
      </c>
      <c r="N26" s="9">
        <f>'Hoteles Completo'!N26</f>
        <v>50</v>
      </c>
      <c r="O26" s="9">
        <f>'Hoteles Completo'!O26</f>
        <v>93</v>
      </c>
      <c r="P26" s="9">
        <f>'Hoteles Completo'!P26</f>
        <v>1580</v>
      </c>
      <c r="Q26" s="9">
        <f>'Hoteles Completo'!Q26</f>
        <v>0.40000000000000036</v>
      </c>
      <c r="R26" s="9">
        <f>'Hoteles Completo'!R26</f>
        <v>0.026408125577100705</v>
      </c>
      <c r="S26" s="9">
        <f>'Hoteles Completo'!S26</f>
        <v>0.37359187442289965</v>
      </c>
      <c r="T26" s="9">
        <f>'Hoteles Completo'!T26</f>
        <v>2.741772151898734</v>
      </c>
      <c r="U26" s="9">
        <f>'Hoteles Completo'!U26</f>
        <v>15.733798451417456</v>
      </c>
      <c r="V26" s="9">
        <f>'Hoteles Completo'!V26</f>
        <v>6.329113924050633</v>
      </c>
      <c r="W26" s="9">
        <f>'Hoteles Completo'!W26</f>
        <v>6.012658227848101</v>
      </c>
      <c r="X26" s="9">
        <f>'Hoteles Completo'!X26</f>
        <v>3.1645569620253164</v>
      </c>
      <c r="Y26" s="9">
        <f>'Hoteles Completo'!Y26</f>
        <v>5.886075949367089</v>
      </c>
      <c r="Z26" s="9">
        <f>'Hoteles Completo'!Z26</f>
        <v>14.146853146853147</v>
      </c>
      <c r="AA26" s="9">
        <f>'Hoteles Completo'!AA26</f>
        <v>0.43276723276723283</v>
      </c>
      <c r="AB26" s="9">
        <f>'Hoteles Completo'!AB26</f>
        <v>0.45552050473186123</v>
      </c>
      <c r="AC26" s="9">
        <f>'Hoteles Completo'!AC26</f>
        <v>0.8646706586826347</v>
      </c>
      <c r="AD26" s="9">
        <f>'Hoteles Completo'!AD26</f>
        <v>0.4653061224489796</v>
      </c>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row>
    <row r="27">
      <c r="A27" s="10">
        <f>'Hoteles Completo'!A27</f>
        <v>93</v>
      </c>
      <c r="B27" t="str">
        <f>'Hoteles Completo'!B27</f>
        <v>Hotel</v>
      </c>
      <c r="C27" t="str">
        <f>'Hoteles Completo'!C27</f>
        <v>Radisson Collection Hotel, Magdalena Plaza Sevilla</v>
      </c>
      <c r="D27" t="str">
        <f>'Hoteles Completo'!D27</f>
        <v>Publicidad</v>
      </c>
      <c r="E27" s="9">
        <f>'Hoteles Completo'!E27</f>
        <v>646</v>
      </c>
      <c r="F27" s="9">
        <f>'Hoteles Completo'!F27</f>
        <v>327</v>
      </c>
      <c r="G27" s="9">
        <f>'Hoteles Completo'!G27</f>
        <v>4.6</v>
      </c>
      <c r="H27" s="9">
        <f>'Hoteles Completo'!H27</f>
        <v>4.6</v>
      </c>
      <c r="I27" s="9">
        <f>'Hoteles Completo'!I27</f>
        <v>4.6</v>
      </c>
      <c r="J27" s="9">
        <f>'Hoteles Completo'!J27</f>
        <v>1</v>
      </c>
      <c r="K27" s="9">
        <f>'Hoteles Completo'!K27</f>
        <v>52</v>
      </c>
      <c r="L27" s="9">
        <f>'Hoteles Completo'!L27</f>
        <v>0</v>
      </c>
      <c r="M27" s="9">
        <f>'Hoteles Completo'!M27</f>
        <v>14</v>
      </c>
      <c r="N27" s="9">
        <f>'Hoteles Completo'!N27</f>
        <v>0</v>
      </c>
      <c r="O27" s="9">
        <f>'Hoteles Completo'!O27</f>
        <v>5.6000000000000005</v>
      </c>
      <c r="P27" s="9">
        <f>'Hoteles Completo'!P27</f>
        <v>666</v>
      </c>
      <c r="Q27" s="9">
        <f>'Hoteles Completo'!Q27</f>
        <v>0</v>
      </c>
      <c r="R27" s="9">
        <f>'Hoteles Completo'!R27</f>
        <v>0</v>
      </c>
      <c r="S27" s="9">
        <f>'Hoteles Completo'!S27</f>
        <v>0</v>
      </c>
      <c r="T27" s="9">
        <f>'Hoteles Completo'!T27</f>
        <v>1.460960960960961</v>
      </c>
      <c r="U27" s="9">
        <f>'Hoteles Completo'!U27</f>
        <v>13.745319065234417</v>
      </c>
      <c r="V27" s="9">
        <f>'Hoteles Completo'!V27</f>
        <v>0</v>
      </c>
      <c r="W27" s="9">
        <f>'Hoteles Completo'!W27</f>
        <v>2.1021021021021022</v>
      </c>
      <c r="X27" s="9">
        <f>'Hoteles Completo'!X27</f>
        <v>0</v>
      </c>
      <c r="Y27" s="9">
        <f>'Hoteles Completo'!Y27</f>
        <v>0.8408408408408409</v>
      </c>
      <c r="Z27" s="9">
        <f>'Hoteles Completo'!Z27</f>
        <v>1.9755351681957187</v>
      </c>
      <c r="AA27" s="9">
        <f>'Hoteles Completo'!AA27</f>
        <v>97.3</v>
      </c>
      <c r="AB27" s="9">
        <f>'Hoteles Completo'!AB27</f>
        <v>0.6900709219858157</v>
      </c>
      <c r="AC27" s="9">
        <f>'Hoteles Completo'!AC27</f>
        <v>97.3</v>
      </c>
      <c r="AD27" s="9">
        <f>'Hoteles Completo'!AD27</f>
        <v>1.707017543859649</v>
      </c>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row>
    <row r="28">
      <c r="A28" s="10">
        <f>'Hoteles Completo'!A28</f>
        <v>94</v>
      </c>
      <c r="B28" t="str">
        <f>'Hoteles Completo'!B28</f>
        <v>Hotel</v>
      </c>
      <c r="C28" t="str">
        <f>'Hoteles Completo'!C28</f>
        <v>Hotel Rey Alfonso X</v>
      </c>
      <c r="D28" t="str">
        <f>'Hoteles Completo'!D28</f>
        <v>Publicidad</v>
      </c>
      <c r="E28" s="9">
        <f>'Hoteles Completo'!E28</f>
        <v>1473</v>
      </c>
      <c r="F28" s="9">
        <f>'Hoteles Completo'!F28</f>
        <v>2447</v>
      </c>
      <c r="G28" s="9">
        <f>'Hoteles Completo'!G28</f>
        <v>4.6</v>
      </c>
      <c r="H28" s="9">
        <f>'Hoteles Completo'!H28</f>
        <v>4.4</v>
      </c>
      <c r="I28" s="9">
        <f>'Hoteles Completo'!I28</f>
        <v>4.475153061224489</v>
      </c>
      <c r="J28" s="9">
        <f>'Hoteles Completo'!J28</f>
        <v>1</v>
      </c>
      <c r="K28" s="9">
        <f>'Hoteles Completo'!K28</f>
        <v>42</v>
      </c>
      <c r="L28" s="9">
        <f>'Hoteles Completo'!L28</f>
        <v>0</v>
      </c>
      <c r="M28" s="9">
        <f>'Hoteles Completo'!M28</f>
        <v>0</v>
      </c>
      <c r="N28" s="9">
        <f>'Hoteles Completo'!N28</f>
        <v>0</v>
      </c>
      <c r="O28" s="9">
        <f>'Hoteles Completo'!O28</f>
        <v>0</v>
      </c>
      <c r="P28" s="9">
        <f>'Hoteles Completo'!P28</f>
        <v>407</v>
      </c>
      <c r="Q28" s="9">
        <f>'Hoteles Completo'!Q28</f>
        <v>0.1999999999999993</v>
      </c>
      <c r="R28" s="9">
        <f>'Hoteles Completo'!R28</f>
        <v>0.12484693877551045</v>
      </c>
      <c r="S28" s="9">
        <f>'Hoteles Completo'!S28</f>
        <v>0.07515306122448884</v>
      </c>
      <c r="T28" s="9">
        <f>'Hoteles Completo'!T28</f>
        <v>9.631449631449632</v>
      </c>
      <c r="U28" s="9">
        <f>'Hoteles Completo'!U28</f>
        <v>16.080505142681904</v>
      </c>
      <c r="V28" s="9">
        <f>'Hoteles Completo'!V28</f>
        <v>0</v>
      </c>
      <c r="W28" s="9">
        <f>'Hoteles Completo'!W28</f>
        <v>0</v>
      </c>
      <c r="X28" s="9">
        <f>'Hoteles Completo'!X28</f>
        <v>0</v>
      </c>
      <c r="Y28" s="9">
        <f>'Hoteles Completo'!Y28</f>
        <v>0</v>
      </c>
      <c r="Z28" s="9">
        <f>'Hoteles Completo'!Z28</f>
        <v>0.6019615856150389</v>
      </c>
      <c r="AA28" s="9">
        <f>'Hoteles Completo'!AA28</f>
        <v>392</v>
      </c>
      <c r="AB28" s="9">
        <f>'Hoteles Completo'!AB28</f>
        <v>392</v>
      </c>
      <c r="AC28" s="9">
        <f>'Hoteles Completo'!AC28</f>
        <v>392</v>
      </c>
      <c r="AD28" s="9">
        <f>'Hoteles Completo'!AD28</f>
        <v>392</v>
      </c>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row>
    <row r="29">
      <c r="A29" s="10">
        <f>'Hoteles Completo'!A29</f>
        <v>95</v>
      </c>
      <c r="B29" t="str">
        <f>'Hoteles Completo'!B29</f>
        <v>Hotel</v>
      </c>
      <c r="C29" t="str">
        <f>'Hoteles Completo'!C29</f>
        <v>Hotel Fernando III</v>
      </c>
      <c r="D29" t="str">
        <f>'Hoteles Completo'!D29</f>
        <v>Publicidad</v>
      </c>
      <c r="E29" s="9">
        <f>'Hoteles Completo'!E29</f>
        <v>2547</v>
      </c>
      <c r="F29" s="9">
        <f>'Hoteles Completo'!F29</f>
        <v>3516</v>
      </c>
      <c r="G29" s="9">
        <f>'Hoteles Completo'!G29</f>
        <v>4.6</v>
      </c>
      <c r="H29" s="9">
        <f>'Hoteles Completo'!H29</f>
        <v>4.3</v>
      </c>
      <c r="I29" s="9">
        <f>'Hoteles Completo'!I29</f>
        <v>4.426026719445819</v>
      </c>
      <c r="J29" s="9">
        <f>'Hoteles Completo'!J29</f>
        <v>1</v>
      </c>
      <c r="K29" s="9">
        <f>'Hoteles Completo'!K29</f>
        <v>35</v>
      </c>
      <c r="L29" s="9">
        <f>'Hoteles Completo'!L29</f>
        <v>0</v>
      </c>
      <c r="M29" s="9">
        <f>'Hoteles Completo'!M29</f>
        <v>0</v>
      </c>
      <c r="N29" s="9">
        <f>'Hoteles Completo'!N29</f>
        <v>0</v>
      </c>
      <c r="O29" s="9">
        <f>'Hoteles Completo'!O29</f>
        <v>0</v>
      </c>
      <c r="P29" s="9">
        <f>'Hoteles Completo'!P29</f>
        <v>428</v>
      </c>
      <c r="Q29" s="9">
        <f>'Hoteles Completo'!Q29</f>
        <v>0.2999999999999998</v>
      </c>
      <c r="R29" s="9">
        <f>'Hoteles Completo'!R29</f>
        <v>0.17397328055418093</v>
      </c>
      <c r="S29" s="9">
        <f>'Hoteles Completo'!S29</f>
        <v>0.1260267194458189</v>
      </c>
      <c r="T29" s="9">
        <f>'Hoteles Completo'!T29</f>
        <v>14.16588785046729</v>
      </c>
      <c r="U29" s="9">
        <f>'Hoteles Completo'!U29</f>
        <v>16.74227624832349</v>
      </c>
      <c r="V29" s="9">
        <f>'Hoteles Completo'!V29</f>
        <v>0</v>
      </c>
      <c r="W29" s="9">
        <f>'Hoteles Completo'!W29</f>
        <v>0</v>
      </c>
      <c r="X29" s="9">
        <f>'Hoteles Completo'!X29</f>
        <v>0</v>
      </c>
      <c r="Y29" s="9">
        <f>'Hoteles Completo'!Y29</f>
        <v>0</v>
      </c>
      <c r="Z29" s="9">
        <f>'Hoteles Completo'!Z29</f>
        <v>0.7244027303754266</v>
      </c>
      <c r="AA29" s="9">
        <f>'Hoteles Completo'!AA29</f>
        <v>606.3</v>
      </c>
      <c r="AB29" s="9">
        <f>'Hoteles Completo'!AB29</f>
        <v>606.3</v>
      </c>
      <c r="AC29" s="9">
        <f>'Hoteles Completo'!AC29</f>
        <v>606.3</v>
      </c>
      <c r="AD29" s="9">
        <f>'Hoteles Completo'!AD29</f>
        <v>606.3</v>
      </c>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row>
    <row r="30">
      <c r="A30" s="10">
        <f>'Hoteles Completo'!A30</f>
        <v>96</v>
      </c>
      <c r="B30" t="str">
        <f>'Hoteles Completo'!B30</f>
        <v>Hotel</v>
      </c>
      <c r="C30" t="str">
        <f>'Hoteles Completo'!C30</f>
        <v>Hotel Occidental Sevilla Viapol</v>
      </c>
      <c r="D30" t="str">
        <f>'Hoteles Completo'!D30</f>
        <v>Publicidad</v>
      </c>
      <c r="E30" s="9">
        <f>'Hoteles Completo'!E30</f>
        <v>2309</v>
      </c>
      <c r="F30" s="9">
        <f>'Hoteles Completo'!F30</f>
        <v>504</v>
      </c>
      <c r="G30" s="9">
        <f>'Hoteles Completo'!G30</f>
        <v>4.4</v>
      </c>
      <c r="H30" s="9">
        <f>'Hoteles Completo'!H30</f>
        <v>4.5</v>
      </c>
      <c r="I30" s="9">
        <f>'Hoteles Completo'!I30</f>
        <v>4.417916814788482</v>
      </c>
      <c r="J30" s="9">
        <f>'Hoteles Completo'!J30</f>
        <v>1</v>
      </c>
      <c r="K30" s="9">
        <f>'Hoteles Completo'!K30</f>
        <v>47</v>
      </c>
      <c r="L30" s="9">
        <f>'Hoteles Completo'!L30</f>
        <v>0</v>
      </c>
      <c r="M30" s="9">
        <f>'Hoteles Completo'!M30</f>
        <v>0</v>
      </c>
      <c r="N30" s="9">
        <f>'Hoteles Completo'!N30</f>
        <v>0</v>
      </c>
      <c r="O30" s="9">
        <f>'Hoteles Completo'!O30</f>
        <v>0</v>
      </c>
      <c r="P30" s="9">
        <f>'Hoteles Completo'!P30</f>
        <v>1540</v>
      </c>
      <c r="Q30" s="9">
        <f>'Hoteles Completo'!Q30</f>
        <v>0.09999999999999964</v>
      </c>
      <c r="R30" s="9">
        <f>'Hoteles Completo'!R30</f>
        <v>0.017916814788481616</v>
      </c>
      <c r="S30" s="9">
        <f>'Hoteles Completo'!S30</f>
        <v>0.08208318521151803</v>
      </c>
      <c r="T30" s="9">
        <f>'Hoteles Completo'!T30</f>
        <v>1.8266233766233766</v>
      </c>
      <c r="U30" s="9">
        <f>'Hoteles Completo'!U30</f>
        <v>15.238144956792125</v>
      </c>
      <c r="V30" s="9">
        <f>'Hoteles Completo'!V30</f>
        <v>0</v>
      </c>
      <c r="W30" s="9">
        <f>'Hoteles Completo'!W30</f>
        <v>0</v>
      </c>
      <c r="X30" s="9">
        <f>'Hoteles Completo'!X30</f>
        <v>0</v>
      </c>
      <c r="Y30" s="9">
        <f>'Hoteles Completo'!Y30</f>
        <v>0</v>
      </c>
      <c r="Z30" s="9">
        <f>'Hoteles Completo'!Z30</f>
        <v>4.5813492063492065</v>
      </c>
      <c r="AA30" s="9">
        <f>'Hoteles Completo'!AA30</f>
        <v>281.3</v>
      </c>
      <c r="AB30" s="9">
        <f>'Hoteles Completo'!AB30</f>
        <v>281.3</v>
      </c>
      <c r="AC30" s="9">
        <f>'Hoteles Completo'!AC30</f>
        <v>281.3</v>
      </c>
      <c r="AD30" s="9">
        <f>'Hoteles Completo'!AD30</f>
        <v>281.3</v>
      </c>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row>
    <row r="31">
      <c r="A31" s="10">
        <f>'Hoteles Completo'!A31</f>
        <v>97</v>
      </c>
      <c r="B31" t="str">
        <f>'Hoteles Completo'!B31</f>
        <v>Hotel</v>
      </c>
      <c r="C31" t="str">
        <f>'Hoteles Completo'!C31</f>
        <v>Hotel Porcel Torneo</v>
      </c>
      <c r="D31" t="str">
        <f>'Hoteles Completo'!D31</f>
        <v>Publicidad</v>
      </c>
      <c r="E31" s="9">
        <f>'Hoteles Completo'!E31</f>
        <v>1480</v>
      </c>
      <c r="F31" s="9">
        <f>'Hoteles Completo'!F31</f>
        <v>35</v>
      </c>
      <c r="G31" s="9">
        <f>'Hoteles Completo'!G31</f>
        <v>4.3</v>
      </c>
      <c r="H31" s="9">
        <f>'Hoteles Completo'!H31</f>
        <v>3.5</v>
      </c>
      <c r="I31" s="9">
        <f>'Hoteles Completo'!I31</f>
        <v>4.281518151815182</v>
      </c>
      <c r="J31" s="9">
        <f>'Hoteles Completo'!J31</f>
        <v>1</v>
      </c>
      <c r="K31" s="9">
        <f>'Hoteles Completo'!K31</f>
        <v>175</v>
      </c>
      <c r="L31" s="9">
        <f>'Hoteles Completo'!L31</f>
        <v>150</v>
      </c>
      <c r="M31" s="9">
        <f>'Hoteles Completo'!M31</f>
        <v>150</v>
      </c>
      <c r="N31" s="9">
        <f>'Hoteles Completo'!N31</f>
        <v>0</v>
      </c>
      <c r="O31" s="9">
        <f>'Hoteles Completo'!O31</f>
        <v>135</v>
      </c>
      <c r="P31" s="9">
        <f>'Hoteles Completo'!P31</f>
        <v>3070</v>
      </c>
      <c r="Q31" s="9">
        <f>'Hoteles Completo'!Q31</f>
        <v>0.7999999999999998</v>
      </c>
      <c r="R31" s="9">
        <f>'Hoteles Completo'!R31</f>
        <v>0.018481848184817906</v>
      </c>
      <c r="S31" s="9">
        <f>'Hoteles Completo'!S31</f>
        <v>0.7815181518151819</v>
      </c>
      <c r="T31" s="9">
        <f>'Hoteles Completo'!T31</f>
        <v>0.49348534201954397</v>
      </c>
      <c r="U31" s="9">
        <f>'Hoteles Completo'!U31</f>
        <v>13.616994417759598</v>
      </c>
      <c r="V31" s="9">
        <f>'Hoteles Completo'!V31</f>
        <v>4.88599348534202</v>
      </c>
      <c r="W31" s="9">
        <f>'Hoteles Completo'!W31</f>
        <v>4.88599348534202</v>
      </c>
      <c r="X31" s="9">
        <f>'Hoteles Completo'!X31</f>
        <v>0</v>
      </c>
      <c r="Y31" s="9">
        <f>'Hoteles Completo'!Y31</f>
        <v>4.397394136807818</v>
      </c>
      <c r="Z31" s="9">
        <f>'Hoteles Completo'!Z31</f>
        <v>42.285714285714285</v>
      </c>
      <c r="AA31" s="9">
        <f>'Hoteles Completo'!AA31</f>
        <v>0.10093271152564957</v>
      </c>
      <c r="AB31" s="9">
        <f>'Hoteles Completo'!AB31</f>
        <v>0.10093271152564957</v>
      </c>
      <c r="AC31" s="9">
        <f>'Hoteles Completo'!AC31</f>
        <v>151.5</v>
      </c>
      <c r="AD31" s="9">
        <f>'Hoteles Completo'!AD31</f>
        <v>0.11213915618060696</v>
      </c>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row>
    <row r="32">
      <c r="A32" s="10">
        <f>'Hoteles Completo'!A32</f>
        <v>98</v>
      </c>
      <c r="B32" t="str">
        <f>'Hoteles Completo'!B32</f>
        <v>Hotel</v>
      </c>
      <c r="C32" t="str">
        <f>'Hoteles Completo'!C32</f>
        <v>Hotel Ibis Sevilla</v>
      </c>
      <c r="D32" t="str">
        <f>'Hoteles Completo'!D32</f>
        <v>Publicidad</v>
      </c>
      <c r="E32" s="9">
        <f>'Hoteles Completo'!E32</f>
        <v>2550</v>
      </c>
      <c r="F32" s="9">
        <f>'Hoteles Completo'!F32</f>
        <v>1154</v>
      </c>
      <c r="G32" s="9">
        <f>'Hoteles Completo'!G32</f>
        <v>4.1</v>
      </c>
      <c r="H32" s="9">
        <f>'Hoteles Completo'!H32</f>
        <v>4</v>
      </c>
      <c r="I32" s="9">
        <f>'Hoteles Completo'!I32</f>
        <v>4.068844492440605</v>
      </c>
      <c r="J32" s="9">
        <f>'Hoteles Completo'!J32</f>
        <v>1</v>
      </c>
      <c r="K32" s="9">
        <f>'Hoteles Completo'!K32</f>
        <v>102</v>
      </c>
      <c r="L32" s="9">
        <f>'Hoteles Completo'!L32</f>
        <v>0</v>
      </c>
      <c r="M32" s="9">
        <f>'Hoteles Completo'!M32</f>
        <v>25</v>
      </c>
      <c r="N32" s="9">
        <f>'Hoteles Completo'!N32</f>
        <v>0</v>
      </c>
      <c r="O32" s="9">
        <f>'Hoteles Completo'!O32</f>
        <v>10</v>
      </c>
      <c r="P32" s="9">
        <f>'Hoteles Completo'!P32</f>
        <v>4460</v>
      </c>
      <c r="Q32" s="9">
        <f>'Hoteles Completo'!Q32</f>
        <v>0.09999999999999964</v>
      </c>
      <c r="R32" s="9">
        <f>'Hoteles Completo'!R32</f>
        <v>0.031155507559394557</v>
      </c>
      <c r="S32" s="9">
        <f>'Hoteles Completo'!S32</f>
        <v>0.06884449244060509</v>
      </c>
      <c r="T32" s="9">
        <f>'Hoteles Completo'!T32</f>
        <v>0.8304932735426009</v>
      </c>
      <c r="U32" s="9">
        <f>'Hoteles Completo'!U32</f>
        <v>14.520367254208196</v>
      </c>
      <c r="V32" s="9">
        <f>'Hoteles Completo'!V32</f>
        <v>0</v>
      </c>
      <c r="W32" s="9">
        <f>'Hoteles Completo'!W32</f>
        <v>0.5605381165919282</v>
      </c>
      <c r="X32" s="9">
        <f>'Hoteles Completo'!X32</f>
        <v>0</v>
      </c>
      <c r="Y32" s="9">
        <f>'Hoteles Completo'!Y32</f>
        <v>0.2242152466367713</v>
      </c>
      <c r="Z32" s="9">
        <f>'Hoteles Completo'!Z32</f>
        <v>2.2097053726169844</v>
      </c>
      <c r="AA32" s="9">
        <f>'Hoteles Completo'!AA32</f>
        <v>370.4</v>
      </c>
      <c r="AB32" s="9">
        <f>'Hoteles Completo'!AB32</f>
        <v>1.4756972111553786</v>
      </c>
      <c r="AC32" s="9">
        <f>'Hoteles Completo'!AC32</f>
        <v>370.4</v>
      </c>
      <c r="AD32" s="9">
        <f>'Hoteles Completo'!AD32</f>
        <v>3.6673267326732675</v>
      </c>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row>
    <row r="33">
      <c r="A33" s="10">
        <f>'Hoteles Completo'!A33</f>
        <v>99</v>
      </c>
      <c r="B33" t="str">
        <f>'Hoteles Completo'!B33</f>
        <v>Hotel</v>
      </c>
      <c r="C33" t="str">
        <f>'Hoteles Completo'!C33</f>
        <v>Hotel Exe Palmera</v>
      </c>
      <c r="D33" t="str">
        <f>'Hoteles Completo'!D33</f>
        <v>Publicidad</v>
      </c>
      <c r="E33" s="9">
        <f>'Hoteles Completo'!E33</f>
        <v>2705</v>
      </c>
      <c r="F33" s="9">
        <f>'Hoteles Completo'!F33</f>
        <v>587</v>
      </c>
      <c r="G33" s="9">
        <f>'Hoteles Completo'!G33</f>
        <v>3.9</v>
      </c>
      <c r="H33" s="9">
        <f>'Hoteles Completo'!H33</f>
        <v>3.5</v>
      </c>
      <c r="I33" s="9">
        <f>'Hoteles Completo'!I33</f>
        <v>3.828675577156744</v>
      </c>
      <c r="J33" s="9">
        <f>'Hoteles Completo'!J33</f>
        <v>1</v>
      </c>
      <c r="K33" s="9">
        <f>'Hoteles Completo'!K33</f>
        <v>155</v>
      </c>
      <c r="L33" s="9">
        <f>'Hoteles Completo'!L33</f>
        <v>50</v>
      </c>
      <c r="M33" s="9">
        <f>'Hoteles Completo'!M33</f>
        <v>233</v>
      </c>
      <c r="N33" s="9">
        <f>'Hoteles Completo'!N33</f>
        <v>100</v>
      </c>
      <c r="O33" s="9">
        <f>'Hoteles Completo'!O33</f>
        <v>128.2</v>
      </c>
      <c r="P33" s="9">
        <f>'Hoteles Completo'!P33</f>
        <v>2650</v>
      </c>
      <c r="Q33" s="9">
        <f>'Hoteles Completo'!Q33</f>
        <v>0.3999999999999999</v>
      </c>
      <c r="R33" s="9">
        <f>'Hoteles Completo'!R33</f>
        <v>0.07132442284325613</v>
      </c>
      <c r="S33" s="9">
        <f>'Hoteles Completo'!S33</f>
        <v>0.3286755771567438</v>
      </c>
      <c r="T33" s="9">
        <f>'Hoteles Completo'!T33</f>
        <v>1.2422641509433963</v>
      </c>
      <c r="U33" s="9">
        <f>'Hoteles Completo'!U33</f>
        <v>13.467212531504584</v>
      </c>
      <c r="V33" s="9">
        <f>'Hoteles Completo'!V33</f>
        <v>1.8867924528301887</v>
      </c>
      <c r="W33" s="9">
        <f>'Hoteles Completo'!W33</f>
        <v>8.79245283018868</v>
      </c>
      <c r="X33" s="9">
        <f>'Hoteles Completo'!X33</f>
        <v>3.7735849056603774</v>
      </c>
      <c r="Y33" s="9">
        <f>'Hoteles Completo'!Y33</f>
        <v>4.837735849056603</v>
      </c>
      <c r="Z33" s="9">
        <f>'Hoteles Completo'!Z33</f>
        <v>4.608177172061329</v>
      </c>
      <c r="AA33" s="9">
        <f>'Hoteles Completo'!AA33</f>
        <v>0.6570858283433134</v>
      </c>
      <c r="AB33" s="9">
        <f>'Hoteles Completo'!AB33</f>
        <v>0.14122694122694124</v>
      </c>
      <c r="AC33" s="9">
        <f>'Hoteles Completo'!AC33</f>
        <v>0.3288711288711289</v>
      </c>
      <c r="AD33" s="9">
        <f>'Hoteles Completo'!AD33</f>
        <v>0.2565861262665628</v>
      </c>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row>
    <row r="34">
      <c r="A34" s="10">
        <f>'Hoteles Completo'!A34</f>
        <v>100</v>
      </c>
      <c r="B34" t="str">
        <f>'Hoteles Completo'!B34</f>
        <v>Hotel</v>
      </c>
      <c r="C34" t="str">
        <f>'Hoteles Completo'!C34</f>
        <v>ibis Budget Sevilla Aeropuerto</v>
      </c>
      <c r="D34" t="str">
        <f>'Hoteles Completo'!D34</f>
        <v>Publicidad</v>
      </c>
      <c r="E34" s="9">
        <f>'Hoteles Completo'!E34</f>
        <v>3010</v>
      </c>
      <c r="F34" s="9">
        <f>'Hoteles Completo'!F34</f>
        <v>931</v>
      </c>
      <c r="G34" s="9">
        <f>'Hoteles Completo'!G34</f>
        <v>3.9</v>
      </c>
      <c r="H34" s="9">
        <f>'Hoteles Completo'!H34</f>
        <v>3.7</v>
      </c>
      <c r="I34" s="9">
        <f>'Hoteles Completo'!I34</f>
        <v>3.8527531083481352</v>
      </c>
      <c r="J34" s="9">
        <f>'Hoteles Completo'!J34</f>
        <v>1</v>
      </c>
      <c r="K34" s="9">
        <f>'Hoteles Completo'!K34</f>
        <v>135</v>
      </c>
      <c r="L34" s="9">
        <f>'Hoteles Completo'!L34</f>
        <v>0</v>
      </c>
      <c r="M34" s="9">
        <f>'Hoteles Completo'!M34</f>
        <v>0</v>
      </c>
      <c r="N34" s="9">
        <f>'Hoteles Completo'!N34</f>
        <v>0</v>
      </c>
      <c r="O34" s="9">
        <f>'Hoteles Completo'!O34</f>
        <v>0</v>
      </c>
      <c r="P34" s="9">
        <f>'Hoteles Completo'!P34</f>
        <v>4550</v>
      </c>
      <c r="Q34" s="9">
        <f>'Hoteles Completo'!Q34</f>
        <v>0.19999999999999973</v>
      </c>
      <c r="R34" s="9">
        <f>'Hoteles Completo'!R34</f>
        <v>0.047246891651864686</v>
      </c>
      <c r="S34" s="9">
        <f>'Hoteles Completo'!S34</f>
        <v>0.15275310834813505</v>
      </c>
      <c r="T34" s="9">
        <f>'Hoteles Completo'!T34</f>
        <v>0.8661538461538462</v>
      </c>
      <c r="U34" s="9">
        <f>'Hoteles Completo'!U34</f>
        <v>13.85298386832501</v>
      </c>
      <c r="V34" s="9">
        <f>'Hoteles Completo'!V34</f>
        <v>0</v>
      </c>
      <c r="W34" s="9">
        <f>'Hoteles Completo'!W34</f>
        <v>0</v>
      </c>
      <c r="X34" s="9">
        <f>'Hoteles Completo'!X34</f>
        <v>0</v>
      </c>
      <c r="Y34" s="9">
        <f>'Hoteles Completo'!Y34</f>
        <v>0</v>
      </c>
      <c r="Z34" s="9">
        <f>'Hoteles Completo'!Z34</f>
        <v>3.2330827067669174</v>
      </c>
      <c r="AA34" s="9">
        <f>'Hoteles Completo'!AA34</f>
        <v>394.1</v>
      </c>
      <c r="AB34" s="9">
        <f>'Hoteles Completo'!AB34</f>
        <v>394.1</v>
      </c>
      <c r="AC34" s="9">
        <f>'Hoteles Completo'!AC34</f>
        <v>394.1</v>
      </c>
      <c r="AD34" s="9">
        <f>'Hoteles Completo'!AD34</f>
        <v>394.1</v>
      </c>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row>
    <row r="35">
      <c r="A35" s="10">
        <f>'Hoteles Completo'!A35</f>
        <v>101</v>
      </c>
      <c r="B35" t="str">
        <f>'Hoteles Completo'!B35</f>
        <v>Hotel</v>
      </c>
      <c r="C35" t="str">
        <f>'Hoteles Completo'!C35</f>
        <v>AC Hotel Sevilla Forum</v>
      </c>
      <c r="D35" t="str">
        <f>'Hoteles Completo'!D35</f>
        <v>Publicidad</v>
      </c>
      <c r="E35" s="9">
        <f>'Hoteles Completo'!E35</f>
        <v>1683</v>
      </c>
      <c r="F35" s="9">
        <f>'Hoteles Completo'!F35</f>
        <v>483</v>
      </c>
      <c r="G35" s="9">
        <f>'Hoteles Completo'!G35</f>
        <v>4.1</v>
      </c>
      <c r="H35" s="9">
        <f>'Hoteles Completo'!H35</f>
        <v>3.5</v>
      </c>
      <c r="I35" s="9">
        <f>'Hoteles Completo'!I35</f>
        <v>3.966204986149584</v>
      </c>
      <c r="J35" s="9">
        <f>'Hoteles Completo'!J35</f>
        <v>1</v>
      </c>
      <c r="K35" s="9">
        <f>'Hoteles Completo'!K35</f>
        <v>146</v>
      </c>
      <c r="L35" s="9">
        <f>'Hoteles Completo'!L35</f>
        <v>0</v>
      </c>
      <c r="M35" s="9">
        <f>'Hoteles Completo'!M35</f>
        <v>0</v>
      </c>
      <c r="N35" s="9">
        <f>'Hoteles Completo'!N35</f>
        <v>0</v>
      </c>
      <c r="O35" s="9">
        <f>'Hoteles Completo'!O35</f>
        <v>0</v>
      </c>
      <c r="P35" s="9">
        <f>'Hoteles Completo'!P35</f>
        <v>4800</v>
      </c>
      <c r="Q35" s="9">
        <f>'Hoteles Completo'!Q35</f>
        <v>0.5999999999999996</v>
      </c>
      <c r="R35" s="9">
        <f>'Hoteles Completo'!R35</f>
        <v>0.1337950138504156</v>
      </c>
      <c r="S35" s="9">
        <f>'Hoteles Completo'!S35</f>
        <v>0.46620498614958406</v>
      </c>
      <c r="T35" s="9">
        <f>'Hoteles Completo'!T35</f>
        <v>0.45125</v>
      </c>
      <c r="U35" s="9">
        <f>'Hoteles Completo'!U35</f>
        <v>13.229905185561833</v>
      </c>
      <c r="V35" s="9">
        <f>'Hoteles Completo'!V35</f>
        <v>0</v>
      </c>
      <c r="W35" s="9">
        <f>'Hoteles Completo'!W35</f>
        <v>0</v>
      </c>
      <c r="X35" s="9">
        <f>'Hoteles Completo'!X35</f>
        <v>0</v>
      </c>
      <c r="Y35" s="9">
        <f>'Hoteles Completo'!Y35</f>
        <v>0</v>
      </c>
      <c r="Z35" s="9">
        <f>'Hoteles Completo'!Z35</f>
        <v>3.484472049689441</v>
      </c>
      <c r="AA35" s="9">
        <f>'Hoteles Completo'!AA35</f>
        <v>216.6</v>
      </c>
      <c r="AB35" s="9">
        <f>'Hoteles Completo'!AB35</f>
        <v>216.6</v>
      </c>
      <c r="AC35" s="9">
        <f>'Hoteles Completo'!AC35</f>
        <v>216.6</v>
      </c>
      <c r="AD35" s="9">
        <f>'Hoteles Completo'!AD35</f>
        <v>216.6</v>
      </c>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row>
    <row r="36">
      <c r="A36" s="10">
        <f>'Hoteles Completo'!A36</f>
        <v>102</v>
      </c>
      <c r="B36" t="str">
        <f>'Hoteles Completo'!B36</f>
        <v>Hotel</v>
      </c>
      <c r="C36" t="str">
        <f>'Hoteles Completo'!C36</f>
        <v>Eurostars Al Andalus Palace</v>
      </c>
      <c r="D36" t="str">
        <f>'Hoteles Completo'!D36</f>
        <v>Publicidad</v>
      </c>
      <c r="E36" s="9">
        <f>'Hoteles Completo'!E36</f>
        <v>11263</v>
      </c>
      <c r="F36" s="9">
        <f>'Hoteles Completo'!F36</f>
        <v>5772</v>
      </c>
      <c r="G36" s="9">
        <f>'Hoteles Completo'!G36</f>
        <v>4.3</v>
      </c>
      <c r="H36" s="9">
        <f>'Hoteles Completo'!H36</f>
        <v>3.9</v>
      </c>
      <c r="I36" s="9">
        <f>'Hoteles Completo'!I36</f>
        <v>4.164467273260933</v>
      </c>
      <c r="J36" s="9">
        <f>'Hoteles Completo'!J36</f>
        <v>1</v>
      </c>
      <c r="K36" s="9">
        <f>'Hoteles Completo'!K36</f>
        <v>115</v>
      </c>
      <c r="L36" s="9">
        <f>'Hoteles Completo'!L36</f>
        <v>200</v>
      </c>
      <c r="M36" s="9">
        <f>'Hoteles Completo'!M36</f>
        <v>125</v>
      </c>
      <c r="N36" s="9">
        <f>'Hoteles Completo'!N36</f>
        <v>100</v>
      </c>
      <c r="O36" s="9">
        <f>'Hoteles Completo'!O36</f>
        <v>160</v>
      </c>
      <c r="P36" s="9">
        <f>'Hoteles Completo'!P36</f>
        <v>3730</v>
      </c>
      <c r="Q36" s="9">
        <f>'Hoteles Completo'!Q36</f>
        <v>0.3999999999999999</v>
      </c>
      <c r="R36" s="9">
        <f>'Hoteles Completo'!R36</f>
        <v>0.1355327267390667</v>
      </c>
      <c r="S36" s="9">
        <f>'Hoteles Completo'!S36</f>
        <v>0.2644672732609332</v>
      </c>
      <c r="T36" s="9">
        <f>'Hoteles Completo'!T36</f>
        <v>4.567024128686327</v>
      </c>
      <c r="U36" s="9">
        <f>'Hoteles Completo'!U36</f>
        <v>17.621285855270724</v>
      </c>
      <c r="V36" s="9">
        <f>'Hoteles Completo'!V36</f>
        <v>5.361930294906166</v>
      </c>
      <c r="W36" s="9">
        <f>'Hoteles Completo'!W36</f>
        <v>3.351206434316354</v>
      </c>
      <c r="X36" s="9">
        <f>'Hoteles Completo'!X36</f>
        <v>2.680965147453083</v>
      </c>
      <c r="Y36" s="9">
        <f>'Hoteles Completo'!Y36</f>
        <v>4.289544235924933</v>
      </c>
      <c r="Z36" s="9">
        <f>'Hoteles Completo'!Z36</f>
        <v>1.9513167013167012</v>
      </c>
      <c r="AA36" s="9">
        <f>'Hoteles Completo'!AA36</f>
        <v>0.8513243378310845</v>
      </c>
      <c r="AB36" s="9">
        <f>'Hoteles Completo'!AB36</f>
        <v>1.3617106314948044</v>
      </c>
      <c r="AC36" s="9">
        <f>'Hoteles Completo'!AC36</f>
        <v>1.7017982017982018</v>
      </c>
      <c r="AD36" s="9">
        <f>'Hoteles Completo'!AD36</f>
        <v>1.0640224859462837</v>
      </c>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row>
    <row r="37">
      <c r="A37" s="10">
        <f>'Hoteles Completo'!A37</f>
        <v>103</v>
      </c>
      <c r="B37" t="str">
        <f>'Hoteles Completo'!B37</f>
        <v>Hotel</v>
      </c>
      <c r="C37" t="str">
        <f>'Hoteles Completo'!C37</f>
        <v>Virgen de los Reyes Hotel by Senator</v>
      </c>
      <c r="D37" t="str">
        <f>'Hoteles Completo'!D37</f>
        <v>Publicidad</v>
      </c>
      <c r="E37" s="9">
        <f>'Hoteles Completo'!E37</f>
        <v>2169</v>
      </c>
      <c r="F37" s="9">
        <f>'Hoteles Completo'!F37</f>
        <v>150</v>
      </c>
      <c r="G37" s="9">
        <f>'Hoteles Completo'!G37</f>
        <v>4</v>
      </c>
      <c r="H37" s="9">
        <f>'Hoteles Completo'!H37</f>
        <v>4</v>
      </c>
      <c r="I37" s="9">
        <f>'Hoteles Completo'!I37</f>
        <v>4</v>
      </c>
      <c r="J37" s="9">
        <f>'Hoteles Completo'!J37</f>
        <v>1</v>
      </c>
      <c r="K37" s="9">
        <f>'Hoteles Completo'!K37</f>
        <v>136</v>
      </c>
      <c r="L37" s="9">
        <f>'Hoteles Completo'!L37</f>
        <v>150</v>
      </c>
      <c r="M37" s="9">
        <f>'Hoteles Completo'!M37</f>
        <v>0</v>
      </c>
      <c r="N37" s="9">
        <f>'Hoteles Completo'!N37</f>
        <v>100</v>
      </c>
      <c r="O37" s="9">
        <f>'Hoteles Completo'!O37</f>
        <v>85</v>
      </c>
      <c r="P37" s="9">
        <f>'Hoteles Completo'!P37</f>
        <v>2120</v>
      </c>
      <c r="Q37" s="9">
        <f>'Hoteles Completo'!Q37</f>
        <v>0</v>
      </c>
      <c r="R37" s="9">
        <f>'Hoteles Completo'!R37</f>
        <v>0</v>
      </c>
      <c r="S37" s="9">
        <f>'Hoteles Completo'!S37</f>
        <v>0</v>
      </c>
      <c r="T37" s="9">
        <f>'Hoteles Completo'!T37</f>
        <v>1.0938679245283018</v>
      </c>
      <c r="U37" s="9">
        <f>'Hoteles Completo'!U37</f>
        <v>13.46120299455195</v>
      </c>
      <c r="V37" s="9">
        <f>'Hoteles Completo'!V37</f>
        <v>7.0754716981132075</v>
      </c>
      <c r="W37" s="9">
        <f>'Hoteles Completo'!W37</f>
        <v>0</v>
      </c>
      <c r="X37" s="9">
        <f>'Hoteles Completo'!X37</f>
        <v>4.716981132075472</v>
      </c>
      <c r="Y37" s="9">
        <f>'Hoteles Completo'!Y37</f>
        <v>4.009433962264151</v>
      </c>
      <c r="Z37" s="9">
        <f>'Hoteles Completo'!Z37</f>
        <v>14.46</v>
      </c>
      <c r="AA37" s="9">
        <f>'Hoteles Completo'!AA37</f>
        <v>0.15449700199866756</v>
      </c>
      <c r="AB37" s="9">
        <f>'Hoteles Completo'!AB37</f>
        <v>231.9</v>
      </c>
      <c r="AC37" s="9">
        <f>'Hoteles Completo'!AC37</f>
        <v>0.23166833166833167</v>
      </c>
      <c r="AD37" s="9">
        <f>'Hoteles Completo'!AD37</f>
        <v>0.272502937720329</v>
      </c>
    </row>
    <row r="38">
      <c r="A38" s="10">
        <f>'Hoteles Completo'!A38</f>
        <v>104</v>
      </c>
      <c r="B38" t="str">
        <f>'Hoteles Completo'!B38</f>
        <v>Hotel</v>
      </c>
      <c r="C38" t="str">
        <f>'Hoteles Completo'!C38</f>
        <v>Sercotel Doña Carmela</v>
      </c>
      <c r="D38" t="str">
        <f>'Hoteles Completo'!D38</f>
        <v>Publicidad</v>
      </c>
      <c r="E38" s="9">
        <f>'Hoteles Completo'!E38</f>
        <v>1590</v>
      </c>
      <c r="F38" s="9">
        <f>'Hoteles Completo'!F38</f>
        <v>421</v>
      </c>
      <c r="G38" s="9">
        <f>'Hoteles Completo'!G38</f>
        <v>4.3</v>
      </c>
      <c r="H38" s="9">
        <f>'Hoteles Completo'!H38</f>
        <v>4</v>
      </c>
      <c r="I38" s="9">
        <f>'Hoteles Completo'!I38</f>
        <v>4.2371954251616115</v>
      </c>
      <c r="J38" s="9">
        <f>'Hoteles Completo'!J38</f>
        <v>1</v>
      </c>
      <c r="K38" s="9">
        <f>'Hoteles Completo'!K38</f>
        <v>107</v>
      </c>
      <c r="L38" s="9">
        <f>'Hoteles Completo'!L38</f>
        <v>50</v>
      </c>
      <c r="M38" s="9">
        <f>'Hoteles Completo'!M38</f>
        <v>25</v>
      </c>
      <c r="N38" s="9">
        <f>'Hoteles Completo'!N38</f>
        <v>0</v>
      </c>
      <c r="O38" s="9">
        <f>'Hoteles Completo'!O38</f>
        <v>35</v>
      </c>
      <c r="P38" s="9">
        <f>'Hoteles Completo'!P38</f>
        <v>6980</v>
      </c>
      <c r="Q38" s="9">
        <f>'Hoteles Completo'!Q38</f>
        <v>0.2999999999999998</v>
      </c>
      <c r="R38" s="9">
        <f>'Hoteles Completo'!R38</f>
        <v>0.0628045748383883</v>
      </c>
      <c r="S38" s="9">
        <f>'Hoteles Completo'!S38</f>
        <v>0.23719542516161152</v>
      </c>
      <c r="T38" s="9">
        <f>'Hoteles Completo'!T38</f>
        <v>0.28810888252149</v>
      </c>
      <c r="U38" s="9">
        <f>'Hoteles Completo'!U38</f>
        <v>13.997202512956163</v>
      </c>
      <c r="V38" s="9">
        <f>'Hoteles Completo'!V38</f>
        <v>0.7163323782234957</v>
      </c>
      <c r="W38" s="9">
        <f>'Hoteles Completo'!W38</f>
        <v>0.35816618911174786</v>
      </c>
      <c r="X38" s="9">
        <f>'Hoteles Completo'!X38</f>
        <v>0</v>
      </c>
      <c r="Y38" s="9">
        <f>'Hoteles Completo'!Y38</f>
        <v>0.501432664756447</v>
      </c>
      <c r="Z38" s="9">
        <f>'Hoteles Completo'!Z38</f>
        <v>3.776722090261283</v>
      </c>
      <c r="AA38" s="9">
        <f>'Hoteles Completo'!AA38</f>
        <v>0.4013972055888223</v>
      </c>
      <c r="AB38" s="9">
        <f>'Hoteles Completo'!AB38</f>
        <v>0.8011952191235059</v>
      </c>
      <c r="AC38" s="9">
        <f>'Hoteles Completo'!AC38</f>
        <v>201.1</v>
      </c>
      <c r="AD38" s="9">
        <f>'Hoteles Completo'!AD38</f>
        <v>0.572934472934473</v>
      </c>
    </row>
    <row r="39">
      <c r="A39" s="10">
        <f>'Hoteles Completo'!A39</f>
        <v>105</v>
      </c>
      <c r="B39" t="str">
        <f>'Hoteles Completo'!B39</f>
        <v>Hotel</v>
      </c>
      <c r="C39" t="str">
        <f>'Hoteles Completo'!C39</f>
        <v>Hotel  NH Collection Sevilla</v>
      </c>
      <c r="D39" t="str">
        <f>'Hoteles Completo'!D39</f>
        <v>Publicidad</v>
      </c>
      <c r="E39" s="9">
        <f>'Hoteles Completo'!E39</f>
        <v>5588</v>
      </c>
      <c r="F39" s="9">
        <f>'Hoteles Completo'!F39</f>
        <v>3529</v>
      </c>
      <c r="G39" s="9">
        <f>'Hoteles Completo'!G39</f>
        <v>4.5</v>
      </c>
      <c r="H39" s="9">
        <f>'Hoteles Completo'!H39</f>
        <v>4.4</v>
      </c>
      <c r="I39" s="9">
        <f>'Hoteles Completo'!I39</f>
        <v>4.46129209169683</v>
      </c>
      <c r="J39" s="9">
        <f>'Hoteles Completo'!J39</f>
        <v>1</v>
      </c>
      <c r="K39" s="9">
        <f>'Hoteles Completo'!K39</f>
        <v>31</v>
      </c>
      <c r="L39" s="9">
        <f>'Hoteles Completo'!L39</f>
        <v>0</v>
      </c>
      <c r="M39" s="9">
        <f>'Hoteles Completo'!M39</f>
        <v>91</v>
      </c>
      <c r="N39" s="9">
        <f>'Hoteles Completo'!N39</f>
        <v>0</v>
      </c>
      <c r="O39" s="9">
        <f>'Hoteles Completo'!O39</f>
        <v>36.4</v>
      </c>
      <c r="P39" s="9">
        <f>'Hoteles Completo'!P39</f>
        <v>1910</v>
      </c>
      <c r="Q39" s="9">
        <f>'Hoteles Completo'!Q39</f>
        <v>0.09999999999999964</v>
      </c>
      <c r="R39" s="9">
        <f>'Hoteles Completo'!R39</f>
        <v>0.03870790830317006</v>
      </c>
      <c r="S39" s="9">
        <f>'Hoteles Completo'!S39</f>
        <v>0.06129209169682959</v>
      </c>
      <c r="T39" s="9">
        <f>'Hoteles Completo'!T39</f>
        <v>4.773298429319372</v>
      </c>
      <c r="U39" s="9">
        <f>'Hoteles Completo'!U39</f>
        <v>17.666056210237713</v>
      </c>
      <c r="V39" s="9">
        <f>'Hoteles Completo'!V39</f>
        <v>0</v>
      </c>
      <c r="W39" s="9">
        <f>'Hoteles Completo'!W39</f>
        <v>4.7643979057591626</v>
      </c>
      <c r="X39" s="9">
        <f>'Hoteles Completo'!X39</f>
        <v>0</v>
      </c>
      <c r="Y39" s="9">
        <f>'Hoteles Completo'!Y39</f>
        <v>1.905759162303665</v>
      </c>
      <c r="Z39" s="9">
        <f>'Hoteles Completo'!Z39</f>
        <v>1.5834514026636441</v>
      </c>
      <c r="AA39" s="9">
        <f>'Hoteles Completo'!AA39</f>
        <v>911.7</v>
      </c>
      <c r="AB39" s="9">
        <f>'Hoteles Completo'!AB39</f>
        <v>1.0007683863885841</v>
      </c>
      <c r="AC39" s="9">
        <f>'Hoteles Completo'!AC39</f>
        <v>911.7</v>
      </c>
      <c r="AD39" s="9">
        <f>'Hoteles Completo'!AD39</f>
        <v>2.4978082191780824</v>
      </c>
    </row>
    <row r="40">
      <c r="A40" s="10">
        <f>'Hoteles Completo'!A40</f>
        <v>106</v>
      </c>
      <c r="B40" t="str">
        <f>'Hoteles Completo'!B40</f>
        <v>Hotel</v>
      </c>
      <c r="C40" t="str">
        <f>'Hoteles Completo'!C40</f>
        <v>Hotel Ilunion Alcora Sevilla</v>
      </c>
      <c r="D40" t="str">
        <f>'Hoteles Completo'!D40</f>
        <v>Publicidad</v>
      </c>
      <c r="E40" s="9">
        <f>'Hoteles Completo'!E40</f>
        <v>5811</v>
      </c>
      <c r="F40" s="9">
        <f>'Hoteles Completo'!F40</f>
        <v>1801</v>
      </c>
      <c r="G40" s="9">
        <f>'Hoteles Completo'!G40</f>
        <v>4.1</v>
      </c>
      <c r="H40" s="9">
        <f>'Hoteles Completo'!H40</f>
        <v>3.5</v>
      </c>
      <c r="I40" s="9">
        <f>'Hoteles Completo'!I40</f>
        <v>3.9580399369416708</v>
      </c>
      <c r="J40" s="9">
        <f>'Hoteles Completo'!J40</f>
        <v>0</v>
      </c>
      <c r="K40" s="9">
        <f>'Hoteles Completo'!K40</f>
        <v>0</v>
      </c>
      <c r="L40" s="9">
        <f>'Hoteles Completo'!L40</f>
        <v>0</v>
      </c>
      <c r="M40" s="9">
        <f>'Hoteles Completo'!M40</f>
        <v>25</v>
      </c>
      <c r="N40" s="9">
        <f>'Hoteles Completo'!N40</f>
        <v>0</v>
      </c>
      <c r="O40" s="9">
        <f>'Hoteles Completo'!O40</f>
        <v>10</v>
      </c>
      <c r="P40" s="9">
        <f>'Hoteles Completo'!P40</f>
        <v>4000</v>
      </c>
      <c r="Q40" s="9">
        <f>'Hoteles Completo'!Q40</f>
        <v>0.5999999999999996</v>
      </c>
      <c r="R40" s="9">
        <f>'Hoteles Completo'!R40</f>
        <v>0.14196006305832887</v>
      </c>
      <c r="S40" s="9">
        <f>'Hoteles Completo'!S40</f>
        <v>0.4580399369416708</v>
      </c>
      <c r="T40" s="9">
        <f>'Hoteles Completo'!T40</f>
        <v>1.903</v>
      </c>
      <c r="U40" s="9">
        <f>'Hoteles Completo'!U40</f>
        <v>15.363127184906459</v>
      </c>
      <c r="V40" s="9">
        <f>'Hoteles Completo'!V40</f>
        <v>0</v>
      </c>
      <c r="W40" s="9">
        <f>'Hoteles Completo'!W40</f>
        <v>0.625</v>
      </c>
      <c r="X40" s="9">
        <f>'Hoteles Completo'!X40</f>
        <v>0</v>
      </c>
      <c r="Y40" s="9">
        <f>'Hoteles Completo'!Y40</f>
        <v>0.25</v>
      </c>
      <c r="Z40" s="9">
        <f>'Hoteles Completo'!Z40</f>
        <v>3.226540810660744</v>
      </c>
      <c r="AA40" s="9">
        <f>'Hoteles Completo'!AA40</f>
        <v>761.2</v>
      </c>
      <c r="AB40" s="9">
        <f>'Hoteles Completo'!AB40</f>
        <v>3.032669322709163</v>
      </c>
      <c r="AC40" s="9">
        <f>'Hoteles Completo'!AC40</f>
        <v>761.2</v>
      </c>
      <c r="AD40" s="9">
        <f>'Hoteles Completo'!AD40</f>
        <v>7.536633663366336</v>
      </c>
    </row>
    <row r="41">
      <c r="A41" s="10">
        <f>'Hoteles Completo'!A41</f>
        <v>107</v>
      </c>
      <c r="B41" t="str">
        <f>'Hoteles Completo'!B41</f>
        <v>Hotel</v>
      </c>
      <c r="C41" t="str">
        <f>'Hoteles Completo'!C41</f>
        <v>Sevilla Congresos</v>
      </c>
      <c r="D41" t="str">
        <f>'Hoteles Completo'!D41</f>
        <v>Publicidad</v>
      </c>
      <c r="E41" s="9">
        <f>'Hoteles Completo'!E41</f>
        <v>2763</v>
      </c>
      <c r="F41" s="9">
        <f>'Hoteles Completo'!F41</f>
        <v>631</v>
      </c>
      <c r="G41" s="9">
        <f>'Hoteles Completo'!G41</f>
        <v>4.1</v>
      </c>
      <c r="H41" s="9">
        <f>'Hoteles Completo'!H41</f>
        <v>3.8</v>
      </c>
      <c r="I41" s="9">
        <f>'Hoteles Completo'!I41</f>
        <v>4.044225103123158</v>
      </c>
      <c r="J41" s="9">
        <f>'Hoteles Completo'!J41</f>
        <v>1</v>
      </c>
      <c r="K41" s="9">
        <f>'Hoteles Completo'!K41</f>
        <v>121</v>
      </c>
      <c r="L41" s="9">
        <f>'Hoteles Completo'!L41</f>
        <v>100</v>
      </c>
      <c r="M41" s="9">
        <f>'Hoteles Completo'!M41</f>
        <v>100</v>
      </c>
      <c r="N41" s="9">
        <f>'Hoteles Completo'!N41</f>
        <v>100</v>
      </c>
      <c r="O41" s="9">
        <f>'Hoteles Completo'!O41</f>
        <v>100</v>
      </c>
      <c r="P41" s="9">
        <f>'Hoteles Completo'!P41</f>
        <v>5920</v>
      </c>
      <c r="Q41" s="9">
        <f>'Hoteles Completo'!Q41</f>
        <v>0.2999999999999998</v>
      </c>
      <c r="R41" s="9">
        <f>'Hoteles Completo'!R41</f>
        <v>0.05577489687684167</v>
      </c>
      <c r="S41" s="9">
        <f>'Hoteles Completo'!S41</f>
        <v>0.24422510312315815</v>
      </c>
      <c r="T41" s="9">
        <f>'Hoteles Completo'!T41</f>
        <v>0.5733108108108108</v>
      </c>
      <c r="U41" s="9">
        <f>'Hoteles Completo'!U41</f>
        <v>14.278993447059522</v>
      </c>
      <c r="V41" s="9">
        <f>'Hoteles Completo'!V41</f>
        <v>1.6891891891891893</v>
      </c>
      <c r="W41" s="9">
        <f>'Hoteles Completo'!W41</f>
        <v>1.6891891891891893</v>
      </c>
      <c r="X41" s="9">
        <f>'Hoteles Completo'!X41</f>
        <v>1.6891891891891893</v>
      </c>
      <c r="Y41" s="9">
        <f>'Hoteles Completo'!Y41</f>
        <v>1.6891891891891893</v>
      </c>
      <c r="Z41" s="9">
        <f>'Hoteles Completo'!Z41</f>
        <v>4.378763866877971</v>
      </c>
      <c r="AA41" s="9">
        <f>'Hoteles Completo'!AA41</f>
        <v>0.3390609390609391</v>
      </c>
      <c r="AB41" s="9">
        <f>'Hoteles Completo'!AB41</f>
        <v>0.3390609390609391</v>
      </c>
      <c r="AC41" s="9">
        <f>'Hoteles Completo'!AC41</f>
        <v>0.3390609390609391</v>
      </c>
      <c r="AD41" s="9">
        <f>'Hoteles Completo'!AD41</f>
        <v>0.3390609390609391</v>
      </c>
    </row>
    <row r="42">
      <c r="A42" s="10">
        <f>'Hoteles Completo'!A42</f>
        <v>108</v>
      </c>
      <c r="B42" t="str">
        <f>'Hoteles Completo'!B42</f>
        <v>Hotel</v>
      </c>
      <c r="C42" t="str">
        <f>'Hoteles Completo'!C42</f>
        <v>Exe Sevilla Macarena</v>
      </c>
      <c r="D42" t="str">
        <f>'Hoteles Completo'!D42</f>
        <v>Publicidad</v>
      </c>
      <c r="E42" s="9">
        <f>'Hoteles Completo'!E42</f>
        <v>8352</v>
      </c>
      <c r="F42" s="9">
        <f>'Hoteles Completo'!F42</f>
        <v>3195</v>
      </c>
      <c r="G42" s="9">
        <f>'Hoteles Completo'!G42</f>
        <v>3.9</v>
      </c>
      <c r="H42" s="9">
        <f>'Hoteles Completo'!H42</f>
        <v>3.5</v>
      </c>
      <c r="I42" s="9">
        <f>'Hoteles Completo'!I42</f>
        <v>3.7893219017926736</v>
      </c>
      <c r="J42" s="9">
        <f>'Hoteles Completo'!J42</f>
        <v>1</v>
      </c>
      <c r="K42" s="9">
        <f>'Hoteles Completo'!K42</f>
        <v>178</v>
      </c>
      <c r="L42" s="9">
        <f>'Hoteles Completo'!L42</f>
        <v>150</v>
      </c>
      <c r="M42" s="9">
        <f>'Hoteles Completo'!M42</f>
        <v>170</v>
      </c>
      <c r="N42" s="9">
        <f>'Hoteles Completo'!N42</f>
        <v>200</v>
      </c>
      <c r="O42" s="9">
        <f>'Hoteles Completo'!O42</f>
        <v>163</v>
      </c>
      <c r="P42" s="9">
        <f>'Hoteles Completo'!P42</f>
        <v>1970</v>
      </c>
      <c r="Q42" s="9">
        <f>'Hoteles Completo'!Q42</f>
        <v>0.3999999999999999</v>
      </c>
      <c r="R42" s="9">
        <f>'Hoteles Completo'!R42</f>
        <v>0.11067809820732633</v>
      </c>
      <c r="S42" s="9">
        <f>'Hoteles Completo'!S42</f>
        <v>0.2893219017926736</v>
      </c>
      <c r="T42" s="9">
        <f>'Hoteles Completo'!T42</f>
        <v>5.861421319796954</v>
      </c>
      <c r="U42" s="9">
        <f>'Hoteles Completo'!U42</f>
        <v>15.394003385377362</v>
      </c>
      <c r="V42" s="9">
        <f>'Hoteles Completo'!V42</f>
        <v>7.614213197969544</v>
      </c>
      <c r="W42" s="9">
        <f>'Hoteles Completo'!W42</f>
        <v>8.629441624365482</v>
      </c>
      <c r="X42" s="9">
        <f>'Hoteles Completo'!X42</f>
        <v>10.152284263959391</v>
      </c>
      <c r="Y42" s="9">
        <f>'Hoteles Completo'!Y42</f>
        <v>8.274111675126903</v>
      </c>
      <c r="Z42" s="9">
        <f>'Hoteles Completo'!Z42</f>
        <v>2.6140845070422536</v>
      </c>
      <c r="AA42" s="9">
        <f>'Hoteles Completo'!AA42</f>
        <v>0.7692871419053964</v>
      </c>
      <c r="AB42" s="9">
        <f>'Hoteles Completo'!AB42</f>
        <v>0.6788359788359789</v>
      </c>
      <c r="AC42" s="9">
        <f>'Hoteles Completo'!AC42</f>
        <v>0.5770614692653673</v>
      </c>
      <c r="AD42" s="9">
        <f>'Hoteles Completo'!AD42</f>
        <v>0.7079705702023298</v>
      </c>
    </row>
    <row r="43">
      <c r="A43" s="10">
        <f>'Hoteles Completo'!A43</f>
        <v>109</v>
      </c>
      <c r="B43" t="str">
        <f>'Hoteles Completo'!B43</f>
        <v>Hotel</v>
      </c>
      <c r="C43" t="str">
        <f>'Hoteles Completo'!C43</f>
        <v>Hotel YIT Via Sevilla Mairena</v>
      </c>
      <c r="D43" t="str">
        <f>'Hoteles Completo'!D43</f>
        <v>Publicidad</v>
      </c>
      <c r="E43" s="9">
        <f>'Hoteles Completo'!E43</f>
        <v>1778</v>
      </c>
      <c r="F43" s="9">
        <f>'Hoteles Completo'!F43</f>
        <v>410</v>
      </c>
      <c r="G43" s="9">
        <f>'Hoteles Completo'!G43</f>
        <v>3.7</v>
      </c>
      <c r="H43" s="9">
        <f>'Hoteles Completo'!H43</f>
        <v>3.3</v>
      </c>
      <c r="I43" s="9">
        <f>'Hoteles Completo'!I43</f>
        <v>3.6250457038391226</v>
      </c>
      <c r="J43" s="9">
        <f>'Hoteles Completo'!J43</f>
        <v>0</v>
      </c>
      <c r="K43" s="9">
        <f>'Hoteles Completo'!K43</f>
        <v>0</v>
      </c>
      <c r="L43" s="9">
        <f>'Hoteles Completo'!L43</f>
        <v>0</v>
      </c>
      <c r="M43" s="9">
        <f>'Hoteles Completo'!M43</f>
        <v>0</v>
      </c>
      <c r="N43" s="9">
        <f>'Hoteles Completo'!N43</f>
        <v>0</v>
      </c>
      <c r="O43" s="9">
        <f>'Hoteles Completo'!O43</f>
        <v>0</v>
      </c>
      <c r="P43" s="9">
        <f>'Hoteles Completo'!P43</f>
        <v>6730</v>
      </c>
      <c r="Q43" s="9">
        <f>'Hoteles Completo'!Q43</f>
        <v>0.40000000000000036</v>
      </c>
      <c r="R43" s="9">
        <f>'Hoteles Completo'!R43</f>
        <v>0.07495429616087756</v>
      </c>
      <c r="S43" s="9">
        <f>'Hoteles Completo'!S43</f>
        <v>0.3250457038391228</v>
      </c>
      <c r="T43" s="9">
        <f>'Hoteles Completo'!T43</f>
        <v>0.264739970282318</v>
      </c>
      <c r="U43" s="9">
        <f>'Hoteles Completo'!U43</f>
        <v>12.107824179507817</v>
      </c>
      <c r="V43" s="9">
        <f>'Hoteles Completo'!V43</f>
        <v>0</v>
      </c>
      <c r="W43" s="9">
        <f>'Hoteles Completo'!W43</f>
        <v>0</v>
      </c>
      <c r="X43" s="9">
        <f>'Hoteles Completo'!X43</f>
        <v>0</v>
      </c>
      <c r="Y43" s="9">
        <f>'Hoteles Completo'!Y43</f>
        <v>0</v>
      </c>
      <c r="Z43" s="9">
        <f>'Hoteles Completo'!Z43</f>
        <v>480.5405405405405</v>
      </c>
      <c r="AA43" s="9">
        <f>'Hoteles Completo'!AA43</f>
        <v>218.8</v>
      </c>
      <c r="AB43" s="9">
        <f>'Hoteles Completo'!AB43</f>
        <v>218.8</v>
      </c>
      <c r="AC43" s="9">
        <f>'Hoteles Completo'!AC43</f>
        <v>218.8</v>
      </c>
      <c r="AD43" s="9">
        <f>'Hoteles Completo'!AD43</f>
        <v>178.17</v>
      </c>
    </row>
    <row r="44">
      <c r="A44" s="10">
        <f>'Hoteles Completo'!A44</f>
        <v>110</v>
      </c>
      <c r="B44" t="str">
        <f>'Hoteles Completo'!B44</f>
        <v>Hotel</v>
      </c>
      <c r="C44" t="str">
        <f>'Hoteles Completo'!C44</f>
        <v>Barceló Sevilla Renacimiento</v>
      </c>
      <c r="D44" t="str">
        <f>'Hoteles Completo'!D44</f>
        <v>Publicidad</v>
      </c>
      <c r="E44" s="9">
        <f>'Hoteles Completo'!E44</f>
        <v>7310</v>
      </c>
      <c r="F44" s="9">
        <f>'Hoteles Completo'!F44</f>
        <v>5670</v>
      </c>
      <c r="G44" s="9">
        <f>'Hoteles Completo'!G44</f>
        <v>4.5</v>
      </c>
      <c r="H44" s="9">
        <f>'Hoteles Completo'!H44</f>
        <v>4.3</v>
      </c>
      <c r="I44" s="9">
        <f>'Hoteles Completo'!I44</f>
        <v>4.412634822804314</v>
      </c>
      <c r="J44" s="9">
        <f>'Hoteles Completo'!J44</f>
        <v>1</v>
      </c>
      <c r="K44" s="9">
        <f>'Hoteles Completo'!K44</f>
        <v>65</v>
      </c>
      <c r="L44" s="9">
        <f>'Hoteles Completo'!L44</f>
        <v>33</v>
      </c>
      <c r="M44" s="9">
        <f>'Hoteles Completo'!M44</f>
        <v>191</v>
      </c>
      <c r="N44" s="9">
        <f>'Hoteles Completo'!N44</f>
        <v>100</v>
      </c>
      <c r="O44" s="9">
        <f>'Hoteles Completo'!O44</f>
        <v>102.9</v>
      </c>
      <c r="P44" s="9">
        <f>'Hoteles Completo'!P44</f>
        <v>2680</v>
      </c>
      <c r="Q44" s="9">
        <f>'Hoteles Completo'!Q44</f>
        <v>0.20000000000000018</v>
      </c>
      <c r="R44" s="9">
        <f>'Hoteles Completo'!R44</f>
        <v>0.08736517719568582</v>
      </c>
      <c r="S44" s="9">
        <f>'Hoteles Completo'!S44</f>
        <v>0.11263482280431436</v>
      </c>
      <c r="T44" s="9">
        <f>'Hoteles Completo'!T44</f>
        <v>2.7292910447761196</v>
      </c>
      <c r="U44" s="9">
        <f>'Hoteles Completo'!U44</f>
        <v>18.1503791437279</v>
      </c>
      <c r="V44" s="9">
        <f>'Hoteles Completo'!V44</f>
        <v>1.2313432835820897</v>
      </c>
      <c r="W44" s="9">
        <f>'Hoteles Completo'!W44</f>
        <v>7.1268656716417915</v>
      </c>
      <c r="X44" s="9">
        <f>'Hoteles Completo'!X44</f>
        <v>3.731343283582089</v>
      </c>
      <c r="Y44" s="9">
        <f>'Hoteles Completo'!Y44</f>
        <v>3.8395522388059704</v>
      </c>
      <c r="Z44" s="9">
        <f>'Hoteles Completo'!Z44</f>
        <v>1624.4444444444443</v>
      </c>
      <c r="AA44" s="9">
        <f>'Hoteles Completo'!AA44</f>
        <v>3.921450151057402</v>
      </c>
      <c r="AB44" s="9">
        <f>'Hoteles Completo'!AB44</f>
        <v>0.6792255363683936</v>
      </c>
      <c r="AC44" s="9">
        <f>'Hoteles Completo'!AC44</f>
        <v>1.2967032967032965</v>
      </c>
      <c r="AD44" s="9">
        <f>'Hoteles Completo'!AD44</f>
        <v>0.7101456310679611</v>
      </c>
    </row>
    <row r="45">
      <c r="A45" s="10">
        <f>'Hoteles Completo'!A45</f>
        <v>111</v>
      </c>
      <c r="B45" t="str">
        <f>'Hoteles Completo'!B45</f>
        <v>Hotel</v>
      </c>
      <c r="C45" t="str">
        <f>'Hoteles Completo'!C45</f>
        <v>Hilton Garden Inn Sevilla</v>
      </c>
      <c r="D45" t="str">
        <f>'Hoteles Completo'!D45</f>
        <v>Publicidad</v>
      </c>
      <c r="E45" s="9">
        <f>'Hoteles Completo'!E45</f>
        <v>3281</v>
      </c>
      <c r="F45" s="9">
        <f>'Hoteles Completo'!F45</f>
        <v>2947</v>
      </c>
      <c r="G45" s="9">
        <f>'Hoteles Completo'!G45</f>
        <v>4.4</v>
      </c>
      <c r="H45" s="9">
        <f>'Hoteles Completo'!H45</f>
        <v>4.3</v>
      </c>
      <c r="I45" s="9">
        <f>'Hoteles Completo'!I45</f>
        <v>4.3526814386640975</v>
      </c>
      <c r="J45" s="9">
        <f>'Hoteles Completo'!J45</f>
        <v>0</v>
      </c>
      <c r="K45" s="9">
        <f>'Hoteles Completo'!K45</f>
        <v>0</v>
      </c>
      <c r="L45" s="9">
        <f>'Hoteles Completo'!L45</f>
        <v>0</v>
      </c>
      <c r="M45" s="9">
        <f>'Hoteles Completo'!M45</f>
        <v>25</v>
      </c>
      <c r="N45" s="9">
        <f>'Hoteles Completo'!N45</f>
        <v>0</v>
      </c>
      <c r="O45" s="9">
        <f>'Hoteles Completo'!O45</f>
        <v>10</v>
      </c>
      <c r="P45" s="9">
        <f>'Hoteles Completo'!P45</f>
        <v>4940</v>
      </c>
      <c r="Q45" s="9">
        <f>'Hoteles Completo'!Q45</f>
        <v>0.10000000000000053</v>
      </c>
      <c r="R45" s="9">
        <f>'Hoteles Completo'!R45</f>
        <v>0.04731856133590284</v>
      </c>
      <c r="S45" s="9">
        <f>'Hoteles Completo'!S45</f>
        <v>0.05268143866409769</v>
      </c>
      <c r="T45" s="9">
        <f>'Hoteles Completo'!T45</f>
        <v>0.6650607287449393</v>
      </c>
      <c r="U45" s="9">
        <f>'Hoteles Completo'!U45</f>
        <v>16.51559073999951</v>
      </c>
      <c r="V45" s="9">
        <f>'Hoteles Completo'!V45</f>
        <v>0</v>
      </c>
      <c r="W45" s="9">
        <f>'Hoteles Completo'!W45</f>
        <v>0.5060728744939271</v>
      </c>
      <c r="X45" s="9">
        <f>'Hoteles Completo'!X45</f>
        <v>0</v>
      </c>
      <c r="Y45" s="9">
        <f>'Hoteles Completo'!Y45</f>
        <v>0.20242914979757085</v>
      </c>
      <c r="Z45" s="9">
        <f>'Hoteles Completo'!Z45</f>
        <v>745.6818181818181</v>
      </c>
      <c r="AA45" s="9">
        <f>'Hoteles Completo'!AA45</f>
        <v>622.8</v>
      </c>
      <c r="AB45" s="9">
        <f>'Hoteles Completo'!AB45</f>
        <v>2.4812749003984065</v>
      </c>
      <c r="AC45" s="9">
        <f>'Hoteles Completo'!AC45</f>
        <v>622.8</v>
      </c>
      <c r="AD45" s="9">
        <f>'Hoteles Completo'!AD45</f>
        <v>3.252871287128713</v>
      </c>
    </row>
    <row r="46">
      <c r="A46" s="10">
        <f>'Hoteles Completo'!A46</f>
        <v>112</v>
      </c>
      <c r="B46" t="str">
        <f>'Hoteles Completo'!B46</f>
        <v>Hotel</v>
      </c>
      <c r="C46" t="str">
        <f>'Hoteles Completo'!C46</f>
        <v>B&amp;B HOTEL Sevilla Bormujos</v>
      </c>
      <c r="D46" t="str">
        <f>'Hoteles Completo'!D46</f>
        <v>Publicidad</v>
      </c>
      <c r="E46" s="9">
        <f>'Hoteles Completo'!E46</f>
        <v>314</v>
      </c>
      <c r="F46" s="9">
        <f>'Hoteles Completo'!F46</f>
        <v>4</v>
      </c>
      <c r="G46" s="9">
        <f>'Hoteles Completo'!G46</f>
        <v>4.7</v>
      </c>
      <c r="H46" s="9">
        <f>'Hoteles Completo'!H46</f>
        <v>4.8</v>
      </c>
      <c r="I46" s="9">
        <f>'Hoteles Completo'!I46</f>
        <v>4.70125786163522</v>
      </c>
      <c r="J46" s="9">
        <f>'Hoteles Completo'!J46</f>
        <v>0</v>
      </c>
      <c r="K46" s="9">
        <f>'Hoteles Completo'!K46</f>
        <v>0</v>
      </c>
      <c r="L46" s="9">
        <f>'Hoteles Completo'!L46</f>
        <v>0</v>
      </c>
      <c r="M46" s="9">
        <f>'Hoteles Completo'!M46</f>
        <v>0</v>
      </c>
      <c r="N46" s="9">
        <f>'Hoteles Completo'!N46</f>
        <v>0</v>
      </c>
      <c r="O46" s="9">
        <f>'Hoteles Completo'!O46</f>
        <v>0</v>
      </c>
      <c r="P46" s="9">
        <f>'Hoteles Completo'!P46</f>
        <v>7004</v>
      </c>
      <c r="Q46" s="9">
        <f>'Hoteles Completo'!Q46</f>
        <v>0.09999999999999964</v>
      </c>
      <c r="R46" s="9">
        <f>'Hoteles Completo'!R46</f>
        <v>0.0012578616352199035</v>
      </c>
      <c r="S46" s="9">
        <f>'Hoteles Completo'!S46</f>
        <v>0.09874213836477974</v>
      </c>
      <c r="T46" s="9">
        <f>'Hoteles Completo'!T46</f>
        <v>0.045502569960022846</v>
      </c>
      <c r="U46" s="9">
        <f>'Hoteles Completo'!U46</f>
        <v>11.764555170995996</v>
      </c>
      <c r="V46" s="9">
        <f>'Hoteles Completo'!V46</f>
        <v>0</v>
      </c>
      <c r="W46" s="9">
        <f>'Hoteles Completo'!W46</f>
        <v>0</v>
      </c>
      <c r="X46" s="9">
        <f>'Hoteles Completo'!X46</f>
        <v>0</v>
      </c>
      <c r="Y46" s="9">
        <f>'Hoteles Completo'!Y46</f>
        <v>0</v>
      </c>
      <c r="Z46" s="9">
        <f>'Hoteles Completo'!Z46</f>
        <v>66.80851063829788</v>
      </c>
      <c r="AA46" s="9">
        <f>'Hoteles Completo'!AA46</f>
        <v>31.8</v>
      </c>
      <c r="AB46" s="9">
        <f>'Hoteles Completo'!AB46</f>
        <v>31.8</v>
      </c>
      <c r="AC46" s="9">
        <f>'Hoteles Completo'!AC46</f>
        <v>31.8</v>
      </c>
      <c r="AD46" s="9">
        <f>'Hoteles Completo'!AD46</f>
        <v>31.869999999999994</v>
      </c>
    </row>
  </sheetData>
  <pageMargins left="0.699999988079071" right="0.699999988079071" top="0.75" bottom="0.75" header="0.30000001192092896" footer="0.30000001192092896"/>
  <pageSetup orientation="portrait"/>
</worksheet>
</file>

<file path=xl/worksheets/sheet13.xml><?xml version="1.0" encoding="utf-8"?>
<worksheet xmlns="http://schemas.openxmlformats.org/spreadsheetml/2006/main" xmlns:r="http://schemas.openxmlformats.org/officeDocument/2006/relationships">
  <dimension ref="A1:AD29"/>
  <sheetViews>
    <sheetView zoomScale="70" zoomScaleNormal="70" topLeftCell="L1" workbookViewId="0">
      <selection activeCell="A2" sqref="A2"/>
    </sheetView>
  </sheetViews>
  <sheetFormatPr defaultColWidth="11.421875" defaultRowHeight="15"/>
  <cols>
    <col min="1" max="1" width="5.421875" customWidth="1"/>
    <col min="2" max="2" width="27.57421875" customWidth="1"/>
    <col min="3" max="4" width="31.421875" customWidth="1"/>
    <col min="5" max="5" width="37.00390625" customWidth="1"/>
    <col min="6" max="6" width="37.28125" customWidth="1"/>
    <col min="7" max="7" width="24.57421875" customWidth="1"/>
    <col min="8" max="8" width="17.140625" customWidth="1"/>
    <col min="9" max="9" width="19.140625" customWidth="1"/>
    <col min="10" max="10" width="9.7109375" customWidth="1"/>
    <col min="11" max="11" width="18.421875" customWidth="1"/>
    <col min="12" max="12" width="15.00390625" customWidth="1"/>
    <col min="13" max="13" width="17.8515625" customWidth="1"/>
    <col min="14" max="14" width="21.00390625" customWidth="1"/>
    <col min="15" max="15" width="24.28125" customWidth="1"/>
    <col min="16" max="17" width="16.8515625" customWidth="1"/>
    <col min="18" max="18" width="21.00390625" customWidth="1"/>
    <col min="19" max="19" width="27.28125" customWidth="1"/>
    <col min="20" max="23" width="23.57421875" customWidth="1"/>
    <col min="24" max="24" width="22.28125" customWidth="1"/>
    <col min="25" max="28" width="18.57421875" customWidth="1"/>
    <col min="29" max="29" width="15.421875" customWidth="1"/>
  </cols>
  <sheetData>
    <row r="1" ht="75">
      <c r="A1" s="3" t="s">
        <v>0</v>
      </c>
      <c r="B1" s="3" t="s">
        <v>1</v>
      </c>
      <c r="C1" s="3" t="s">
        <v>2</v>
      </c>
      <c r="D1" s="3" t="s">
        <v>3</v>
      </c>
      <c r="E1" s="3" t="s">
        <v>4</v>
      </c>
      <c r="F1" s="3" t="s">
        <v>5</v>
      </c>
      <c r="G1" s="3" t="s">
        <v>6</v>
      </c>
      <c r="H1" s="3" t="s">
        <v>7</v>
      </c>
      <c r="I1" s="3" t="s">
        <v>8</v>
      </c>
      <c r="J1" s="3" t="s">
        <v>9</v>
      </c>
      <c r="K1" s="7" t="s">
        <v>10</v>
      </c>
      <c r="L1" s="7" t="s">
        <v>11</v>
      </c>
      <c r="M1" s="7" t="s">
        <v>12</v>
      </c>
      <c r="N1" s="7" t="s">
        <v>102</v>
      </c>
      <c r="O1" s="4" t="s">
        <v>14</v>
      </c>
      <c r="P1" s="6" t="s">
        <v>15</v>
      </c>
      <c r="Q1" s="6" t="s">
        <v>16</v>
      </c>
      <c r="R1" s="6" t="s">
        <v>17</v>
      </c>
      <c r="S1" s="3" t="s">
        <v>18</v>
      </c>
      <c r="T1" s="3" t="s">
        <v>19</v>
      </c>
      <c r="U1" s="26" t="s">
        <v>20</v>
      </c>
      <c r="V1" s="26" t="s">
        <v>21</v>
      </c>
      <c r="W1" s="26" t="s">
        <v>22</v>
      </c>
      <c r="X1" s="26" t="s">
        <v>24</v>
      </c>
      <c r="Y1" s="3" t="s">
        <v>23</v>
      </c>
      <c r="Z1" s="26" t="s">
        <v>25</v>
      </c>
      <c r="AA1" s="26" t="s">
        <v>26</v>
      </c>
      <c r="AB1" s="26" t="s">
        <v>27</v>
      </c>
      <c r="AC1" s="3" t="s">
        <v>165</v>
      </c>
    </row>
    <row r="2">
      <c r="A2" s="34">
        <f>'Hotel 3.2 (Publicidad)'!A21+1</f>
        <v>113</v>
      </c>
      <c r="B2" s="34" t="s">
        <v>186</v>
      </c>
      <c r="C2" s="35" t="s">
        <v>187</v>
      </c>
      <c r="D2" s="35" t="s">
        <v>105</v>
      </c>
      <c r="E2" s="12">
        <v>155</v>
      </c>
      <c r="F2" s="39">
        <v>677</v>
      </c>
      <c r="G2" s="12">
        <v>4.9</v>
      </c>
      <c r="H2" s="39">
        <v>5</v>
      </c>
      <c r="I2" s="12">
        <f>((G2*E2)+(H2*F2))/SUM(E2,F2)</f>
        <v>4.9813701923076925</v>
      </c>
      <c r="J2" s="39">
        <v>1</v>
      </c>
      <c r="K2" s="39">
        <v>0</v>
      </c>
      <c r="L2" s="39">
        <v>0</v>
      </c>
      <c r="M2" s="39">
        <v>0</v>
      </c>
      <c r="N2" s="12">
        <f>(K2*0.5)+(L2*0.4)+(M2*0.1)</f>
        <v>0</v>
      </c>
      <c r="O2" s="12">
        <v>509</v>
      </c>
      <c r="P2" s="40">
        <f>ABS(G2-H2)</f>
        <v>0.09999999999999964</v>
      </c>
      <c r="Q2" s="40">
        <f>ABS(H2-I2)</f>
        <v>0.018629807692307487</v>
      </c>
      <c r="R2" s="40">
        <f>ABS(H2-I2)</f>
        <v>0.018629807692307487</v>
      </c>
      <c r="S2" s="37">
        <f>SUM(E2,F2)/O2</f>
        <v>1.6345776031434185</v>
      </c>
      <c r="T2" s="37">
        <f>LOG10(E2+F2)*I2</f>
        <v>14.546215295447002</v>
      </c>
      <c r="U2" s="37">
        <f>(K2/O2)*100</f>
        <v>0</v>
      </c>
      <c r="V2" s="37">
        <f>(L2/O2)*100</f>
        <v>0</v>
      </c>
      <c r="W2" s="37">
        <f>(M2/O2)*100</f>
        <v>0</v>
      </c>
      <c r="X2" s="37">
        <f>(N2/O2)*100</f>
        <v>0</v>
      </c>
      <c r="Y2" s="37">
        <f>E2/F2</f>
        <v>0.22895125553914328</v>
      </c>
      <c r="Z2" s="40">
        <f>(SUM(E2,F2)/(K2+0.1))/100</f>
        <v>83.2</v>
      </c>
      <c r="AA2" s="40">
        <f>(SUM(E2,F2)/(L2+0.1))/100</f>
        <v>83.2</v>
      </c>
      <c r="AB2" s="40">
        <f>(SUM(E2,F2)/(M2+0.1))/100</f>
        <v>83.2</v>
      </c>
      <c r="AC2" s="40">
        <f>(SUM(E2,F2)/(N2+0.1))/100</f>
        <v>83.2</v>
      </c>
      <c r="AD2" s="10"/>
    </row>
    <row r="3" ht="30.75">
      <c r="A3" s="38">
        <f>A2+1</f>
        <v>114</v>
      </c>
      <c r="B3" s="34" t="s">
        <v>186</v>
      </c>
      <c r="C3" s="35" t="s">
        <v>188</v>
      </c>
      <c r="D3" s="35" t="s">
        <v>105</v>
      </c>
      <c r="E3" s="13">
        <v>77</v>
      </c>
      <c r="F3" s="39">
        <v>106</v>
      </c>
      <c r="G3" s="13">
        <v>4.8</v>
      </c>
      <c r="H3" s="39">
        <v>4.9</v>
      </c>
      <c r="I3" s="12">
        <f>((G3*E3)+(H3*F3))/SUM(E3,F3)</f>
        <v>4.85792349726776</v>
      </c>
      <c r="J3" s="39">
        <v>2</v>
      </c>
      <c r="K3" s="39">
        <v>0</v>
      </c>
      <c r="L3" s="39">
        <v>0</v>
      </c>
      <c r="M3" s="39">
        <v>0</v>
      </c>
      <c r="N3" s="12">
        <f>(K3*0.5)+(L3*0.4)+(M3*0.1)</f>
        <v>0</v>
      </c>
      <c r="O3" s="13">
        <v>500</v>
      </c>
      <c r="P3" s="40">
        <f>ABS(G3-H3)</f>
        <v>0.10000000000000053</v>
      </c>
      <c r="Q3" s="40">
        <f>ABS(G3-I3)</f>
        <v>0.05792349726776003</v>
      </c>
      <c r="R3" s="40">
        <f>ABS(H3-I3)</f>
        <v>0.042076502732240506</v>
      </c>
      <c r="S3" s="37">
        <f>SUM(E3,F3)/O3</f>
        <v>0.366</v>
      </c>
      <c r="T3" s="37">
        <f>LOG10(E3+F3)*I3</f>
        <v>10.990814310220502</v>
      </c>
      <c r="U3" s="37">
        <f>(K3/O3)*100</f>
        <v>0</v>
      </c>
      <c r="V3" s="37">
        <f>(L3/O3)*100</f>
        <v>0</v>
      </c>
      <c r="W3" s="37">
        <f>(M3/O3)*100</f>
        <v>0</v>
      </c>
      <c r="X3" s="37">
        <f>(N3/O3)*100</f>
        <v>0</v>
      </c>
      <c r="Y3" s="37">
        <f>E3/F3</f>
        <v>0.7264150943396226</v>
      </c>
      <c r="Z3" s="40">
        <f>(SUM(E3,F3)/(K3+0.1))/100</f>
        <v>18.3</v>
      </c>
      <c r="AA3" s="40">
        <f>(SUM(E3,F3)/(L3+0.1))/100</f>
        <v>18.3</v>
      </c>
      <c r="AB3" s="40">
        <f>(SUM(E3,F3)/(M3+0.1))/100</f>
        <v>18.3</v>
      </c>
      <c r="AC3" s="40">
        <f>(SUM(E3,F3)/(N3+0.1))/100</f>
        <v>18.3</v>
      </c>
      <c r="AD3" s="10"/>
    </row>
    <row r="4" ht="30.75">
      <c r="A4" s="34">
        <f>A3+1</f>
        <v>115</v>
      </c>
      <c r="B4" s="34" t="s">
        <v>186</v>
      </c>
      <c r="C4" s="35" t="s">
        <v>189</v>
      </c>
      <c r="D4" s="35" t="s">
        <v>105</v>
      </c>
      <c r="E4" s="12">
        <v>22</v>
      </c>
      <c r="F4" s="39">
        <v>142</v>
      </c>
      <c r="G4" s="12">
        <v>4.9</v>
      </c>
      <c r="H4" s="39">
        <v>4.9</v>
      </c>
      <c r="I4" s="12">
        <f>((G4*E4)+(H4*F4))/SUM(E4,F4)</f>
        <v>4.900000000000001</v>
      </c>
      <c r="J4" s="39">
        <v>3</v>
      </c>
      <c r="K4" s="39">
        <v>0</v>
      </c>
      <c r="L4" s="39">
        <v>0</v>
      </c>
      <c r="M4" s="39">
        <v>0</v>
      </c>
      <c r="N4" s="12">
        <f>(K4*0.5)+(L4*0.4)+(M4*0.1)</f>
        <v>0</v>
      </c>
      <c r="O4" s="12">
        <v>535</v>
      </c>
      <c r="P4" s="40">
        <f>ABS(G4-H4)</f>
        <v>0</v>
      </c>
      <c r="Q4" s="40">
        <f>ABS(G4-I4)</f>
        <v>8.881784197001252E-16</v>
      </c>
      <c r="R4" s="40">
        <f>ABS(H4-I4)</f>
        <v>8.881784197001252E-16</v>
      </c>
      <c r="S4" s="37">
        <f>SUM(E4,F4)/O4</f>
        <v>0.30654205607476637</v>
      </c>
      <c r="T4" s="37">
        <f>LOG10(E4+F4)*I4</f>
        <v>10.852734855433722</v>
      </c>
      <c r="U4" s="37">
        <f>(K4/O4)*100</f>
        <v>0</v>
      </c>
      <c r="V4" s="37">
        <f>(L4/O4)*100</f>
        <v>0</v>
      </c>
      <c r="W4" s="37">
        <f>(M4/O4)*100</f>
        <v>0</v>
      </c>
      <c r="X4" s="37">
        <f>(N4/O4)*100</f>
        <v>0</v>
      </c>
      <c r="Y4" s="37">
        <f>E4/F4</f>
        <v>0.15492957746478872</v>
      </c>
      <c r="Z4" s="40">
        <f>(SUM(E4,F4)/(K4+0.1))/100</f>
        <v>16.4</v>
      </c>
      <c r="AA4" s="40">
        <f>(SUM(E4,F4)/(L4+0.1))/100</f>
        <v>16.4</v>
      </c>
      <c r="AB4" s="40">
        <f>(SUM(E4,F4)/(M4+0.1))/100</f>
        <v>16.4</v>
      </c>
      <c r="AC4" s="40">
        <f>(SUM(E4,F4)/(N4+0.1))/100</f>
        <v>16.4</v>
      </c>
      <c r="AD4" s="10"/>
    </row>
    <row r="5">
      <c r="A5" s="34">
        <f>A4+1</f>
        <v>116</v>
      </c>
      <c r="B5" s="34" t="s">
        <v>186</v>
      </c>
      <c r="C5" s="35" t="s">
        <v>190</v>
      </c>
      <c r="D5" s="35" t="s">
        <v>105</v>
      </c>
      <c r="E5" s="12">
        <v>81</v>
      </c>
      <c r="F5" s="39">
        <v>312</v>
      </c>
      <c r="G5" s="12">
        <v>4.6</v>
      </c>
      <c r="H5" s="39">
        <v>4.8</v>
      </c>
      <c r="I5" s="12">
        <f>((G5*E5)+(H5*F5))/SUM(E5,F5)</f>
        <v>4.758778625954198</v>
      </c>
      <c r="J5" s="39">
        <v>4</v>
      </c>
      <c r="K5" s="39">
        <v>0</v>
      </c>
      <c r="L5" s="39">
        <v>0</v>
      </c>
      <c r="M5" s="39">
        <v>0</v>
      </c>
      <c r="N5" s="12">
        <f>(K5*0.5)+(L5*0.4)+(M5*0.1)</f>
        <v>0</v>
      </c>
      <c r="O5" s="12">
        <v>212</v>
      </c>
      <c r="P5" s="40">
        <f>ABS(G5-H5)</f>
        <v>0.20000000000000018</v>
      </c>
      <c r="Q5" s="40">
        <f>ABS(G5-I5)</f>
        <v>0.15877862595419856</v>
      </c>
      <c r="R5" s="40">
        <f>ABS(H5-I5)</f>
        <v>0.04122137404580162</v>
      </c>
      <c r="S5" s="37">
        <f>SUM(E5,F5)/O5</f>
        <v>1.8537735849056605</v>
      </c>
      <c r="T5" s="37">
        <f>LOG10(E5+F5)*I5</f>
        <v>12.346139816061381</v>
      </c>
      <c r="U5" s="37">
        <f>(K5/O5)*100</f>
        <v>0</v>
      </c>
      <c r="V5" s="37">
        <f>(L5/O5)*100</f>
        <v>0</v>
      </c>
      <c r="W5" s="37">
        <f>(M5/O5)*100</f>
        <v>0</v>
      </c>
      <c r="X5" s="37">
        <f>(N5/O5)*100</f>
        <v>0</v>
      </c>
      <c r="Y5" s="37">
        <f>E5/F5</f>
        <v>0.25961538461538464</v>
      </c>
      <c r="Z5" s="40">
        <f>(SUM(E5,F5)/(K5+0.1))/100</f>
        <v>39.3</v>
      </c>
      <c r="AA5" s="40">
        <f>(SUM(E5,F5)/(L5+0.1))/100</f>
        <v>39.3</v>
      </c>
      <c r="AB5" s="40">
        <f>(SUM(E5,F5)/(M5+0.1))/100</f>
        <v>39.3</v>
      </c>
      <c r="AC5" s="40">
        <f>(SUM(E5,F5)/(N5+0.1))/100</f>
        <v>39.3</v>
      </c>
      <c r="AD5" s="10"/>
    </row>
    <row r="6">
      <c r="A6" s="34">
        <f>A5+1</f>
        <v>117</v>
      </c>
      <c r="B6" s="34" t="s">
        <v>186</v>
      </c>
      <c r="C6" s="35" t="s">
        <v>191</v>
      </c>
      <c r="D6" s="35" t="s">
        <v>105</v>
      </c>
      <c r="E6" s="12">
        <v>30</v>
      </c>
      <c r="F6" s="39">
        <v>469</v>
      </c>
      <c r="G6" s="12">
        <v>4.7</v>
      </c>
      <c r="H6" s="39">
        <v>4.6</v>
      </c>
      <c r="I6" s="12">
        <f>((G6*E6)+(H6*F6))/SUM(E6,F6)</f>
        <v>4.606012024048096</v>
      </c>
      <c r="J6" s="39">
        <v>5</v>
      </c>
      <c r="K6" s="39">
        <v>0</v>
      </c>
      <c r="L6" s="39">
        <v>0</v>
      </c>
      <c r="M6" s="39">
        <v>0</v>
      </c>
      <c r="N6" s="12">
        <f>(K6*0.5)+(L6*0.4)+(M6*0.1)</f>
        <v>0</v>
      </c>
      <c r="O6" s="12">
        <v>97</v>
      </c>
      <c r="P6" s="40">
        <f>ABS(G6-H6)</f>
        <v>0.10000000000000053</v>
      </c>
      <c r="Q6" s="40">
        <f>ABS(G6-I6)</f>
        <v>0.09398797595190445</v>
      </c>
      <c r="R6" s="40">
        <f>ABS(H6-I6)</f>
        <v>0.006012024048096087</v>
      </c>
      <c r="S6" s="37">
        <f>SUM(E6,F6)/O6</f>
        <v>5.144329896907217</v>
      </c>
      <c r="T6" s="37">
        <f>LOG10(E6+F6)*I6</f>
        <v>12.427483555232062</v>
      </c>
      <c r="U6" s="37">
        <f>(K6/O6)*100</f>
        <v>0</v>
      </c>
      <c r="V6" s="37">
        <f>(L6/O6)*100</f>
        <v>0</v>
      </c>
      <c r="W6" s="37">
        <f>(M6/O6)*100</f>
        <v>0</v>
      </c>
      <c r="X6" s="37">
        <f>(N6/O6)*100</f>
        <v>0</v>
      </c>
      <c r="Y6" s="37">
        <f>E6/F6</f>
        <v>0.06396588486140725</v>
      </c>
      <c r="Z6" s="40">
        <f>(SUM(E6,F6)/(K6+0.1))/100</f>
        <v>49.9</v>
      </c>
      <c r="AA6" s="40">
        <f>(SUM(E6,F6)/(L6+0.1))/100</f>
        <v>49.9</v>
      </c>
      <c r="AB6" s="40">
        <f>(SUM(E6,F6)/(M6+0.1))/100</f>
        <v>49.9</v>
      </c>
      <c r="AC6" s="40">
        <f>(SUM(E6,F6)/(N6+0.1))/100</f>
        <v>49.9</v>
      </c>
      <c r="AD6" s="10"/>
    </row>
    <row r="7" ht="30.75">
      <c r="A7" s="34">
        <f>A6+1</f>
        <v>118</v>
      </c>
      <c r="B7" s="34" t="s">
        <v>186</v>
      </c>
      <c r="C7" s="35" t="s">
        <v>192</v>
      </c>
      <c r="D7" s="35" t="s">
        <v>105</v>
      </c>
      <c r="E7" s="12">
        <v>188</v>
      </c>
      <c r="F7" s="39">
        <v>249</v>
      </c>
      <c r="G7" s="12">
        <v>4.7</v>
      </c>
      <c r="H7" s="39">
        <v>4.8</v>
      </c>
      <c r="I7" s="12">
        <f>((G7*E7)+(H7*F7))/SUM(E7,F7)</f>
        <v>4.7569794050343255</v>
      </c>
      <c r="J7" s="12">
        <v>6</v>
      </c>
      <c r="K7" s="39">
        <v>0</v>
      </c>
      <c r="L7" s="39">
        <v>0</v>
      </c>
      <c r="M7" s="39">
        <v>0</v>
      </c>
      <c r="N7" s="12">
        <f>(K7*0.5)+(L7*0.4)+(M7*0.1)</f>
        <v>0</v>
      </c>
      <c r="O7" s="12">
        <v>374</v>
      </c>
      <c r="P7" s="37">
        <f>ABS(G7-H7)</f>
        <v>0.09999999999999964</v>
      </c>
      <c r="Q7" s="37">
        <f>ABS(G7-I7)</f>
        <v>0.0569794050343253</v>
      </c>
      <c r="R7" s="40">
        <f>ABS(H7-I7)</f>
        <v>0.04302059496567434</v>
      </c>
      <c r="S7" s="37">
        <f>SUM(E7,F7)/O7</f>
        <v>1.1684491978609626</v>
      </c>
      <c r="T7" s="37">
        <f>LOG10(E7+F7)*I7</f>
        <v>12.56071581504374</v>
      </c>
      <c r="U7" s="37">
        <f>(K7/O7)*100</f>
        <v>0</v>
      </c>
      <c r="V7" s="37">
        <f>(L7/O7)*100</f>
        <v>0</v>
      </c>
      <c r="W7" s="37">
        <f>(M7/O7)*100</f>
        <v>0</v>
      </c>
      <c r="X7" s="37">
        <f>(N7/O7)*100</f>
        <v>0</v>
      </c>
      <c r="Y7" s="37">
        <f>E7/F7</f>
        <v>0.7550200803212851</v>
      </c>
      <c r="Z7" s="40">
        <f>(SUM(E7,F7)/(K7+0.1))/100</f>
        <v>43.7</v>
      </c>
      <c r="AA7" s="40">
        <f>(SUM(E7,F7)/(L7+0.1))/100</f>
        <v>43.7</v>
      </c>
      <c r="AB7" s="40">
        <f>(SUM(E7,F7)/(M7+0.1))/100</f>
        <v>43.7</v>
      </c>
      <c r="AC7" s="37">
        <f>(SUM(E7,F7)/(N7+0.1))/100</f>
        <v>43.7</v>
      </c>
      <c r="AD7" s="10"/>
    </row>
    <row r="8">
      <c r="A8" s="34">
        <f>A7+1</f>
        <v>119</v>
      </c>
      <c r="B8" s="34" t="s">
        <v>186</v>
      </c>
      <c r="C8" s="35" t="s">
        <v>193</v>
      </c>
      <c r="D8" s="35" t="s">
        <v>105</v>
      </c>
      <c r="E8" s="12">
        <v>179</v>
      </c>
      <c r="F8" s="39">
        <v>569</v>
      </c>
      <c r="G8" s="12">
        <v>4.6</v>
      </c>
      <c r="H8" s="39">
        <v>4.7</v>
      </c>
      <c r="I8" s="12">
        <f>((G8*E8)+(H8*F8))/SUM(E8,F8)</f>
        <v>4.676069518716578</v>
      </c>
      <c r="J8" s="39">
        <v>7</v>
      </c>
      <c r="K8" s="39">
        <v>0</v>
      </c>
      <c r="L8" s="39">
        <v>0</v>
      </c>
      <c r="M8" s="39">
        <v>0</v>
      </c>
      <c r="N8" s="12">
        <f>(K8*0.5)+(L8*0.4)+(M8*0.1)</f>
        <v>0</v>
      </c>
      <c r="O8" s="12">
        <v>158</v>
      </c>
      <c r="P8" s="40">
        <f>ABS(G8-H8)</f>
        <v>0.10000000000000053</v>
      </c>
      <c r="Q8" s="40">
        <f>ABS(G8-I8)</f>
        <v>0.07606951871657852</v>
      </c>
      <c r="R8" s="40">
        <f>ABS(H8-I8)</f>
        <v>0.02393048128342201</v>
      </c>
      <c r="S8" s="37">
        <f>SUM(E8,F8)/O8</f>
        <v>4.734177215189874</v>
      </c>
      <c r="T8" s="37">
        <f>LOG10(E8+F8)*I8</f>
        <v>13.438563661564878</v>
      </c>
      <c r="U8" s="37">
        <f>(K8/O8)*100</f>
        <v>0</v>
      </c>
      <c r="V8" s="37">
        <f>(L8/O8)*100</f>
        <v>0</v>
      </c>
      <c r="W8" s="37">
        <f>(M8/O8)*100</f>
        <v>0</v>
      </c>
      <c r="X8" s="37">
        <f>(N8/O8)*100</f>
        <v>0</v>
      </c>
      <c r="Y8" s="37">
        <f>E8/F8</f>
        <v>0.3145869947275923</v>
      </c>
      <c r="Z8" s="40">
        <f>(SUM(E8,F8)/(K8+0.1))/100</f>
        <v>74.8</v>
      </c>
      <c r="AA8" s="40">
        <f>(SUM(E8,F8)/(L8+0.1))/100</f>
        <v>74.8</v>
      </c>
      <c r="AB8" s="40">
        <f>(SUM(E8,F8)/(M8+0.1))/100</f>
        <v>74.8</v>
      </c>
      <c r="AC8" s="40">
        <f>(SUM(E8,F8)/(N8+0.1))/100</f>
        <v>74.8</v>
      </c>
      <c r="AD8" s="10"/>
    </row>
    <row r="9">
      <c r="A9" s="34">
        <f>A8+1</f>
        <v>120</v>
      </c>
      <c r="B9" s="34" t="s">
        <v>186</v>
      </c>
      <c r="C9" s="35" t="s">
        <v>194</v>
      </c>
      <c r="D9" s="35" t="s">
        <v>105</v>
      </c>
      <c r="E9" s="12">
        <v>241</v>
      </c>
      <c r="F9" s="39">
        <v>443</v>
      </c>
      <c r="G9" s="12">
        <v>4.6</v>
      </c>
      <c r="H9" s="39">
        <v>4.6</v>
      </c>
      <c r="I9" s="12">
        <f>((G9*E9)+(H9*F9))/SUM(E9,F9)</f>
        <v>4.6</v>
      </c>
      <c r="J9" s="39">
        <v>8</v>
      </c>
      <c r="K9" s="39">
        <v>0</v>
      </c>
      <c r="L9" s="39">
        <v>0</v>
      </c>
      <c r="M9" s="39">
        <v>0</v>
      </c>
      <c r="N9" s="12">
        <f>(K9*0.5)+(L9*0.4)+(M9*0.1)</f>
        <v>0</v>
      </c>
      <c r="O9" s="12">
        <v>406</v>
      </c>
      <c r="P9" s="40">
        <f>ABS(G9-H9)</f>
        <v>0</v>
      </c>
      <c r="Q9" s="40">
        <f>ABS(G9-I9)</f>
        <v>0</v>
      </c>
      <c r="R9" s="40">
        <f>ABS(H9-I9)</f>
        <v>0</v>
      </c>
      <c r="S9" s="37">
        <f>SUM(E9,F9)/O9</f>
        <v>1.6847290640394088</v>
      </c>
      <c r="T9" s="37">
        <f>LOG10(E9+F9)*I9</f>
        <v>13.041258067912533</v>
      </c>
      <c r="U9" s="37">
        <f>(K9/O9)*100</f>
        <v>0</v>
      </c>
      <c r="V9" s="37">
        <f>(L9/O9)*100</f>
        <v>0</v>
      </c>
      <c r="W9" s="37">
        <f>(M9/O9)*100</f>
        <v>0</v>
      </c>
      <c r="X9" s="37">
        <f>(N9/O9)*100</f>
        <v>0</v>
      </c>
      <c r="Y9" s="37">
        <f>E9/F9</f>
        <v>0.5440180586907449</v>
      </c>
      <c r="Z9" s="40">
        <f>(SUM(E9,F9)/(K9+0.1))/100</f>
        <v>68.4</v>
      </c>
      <c r="AA9" s="40">
        <f>(SUM(E9,F9)/(L9+0.1))/100</f>
        <v>68.4</v>
      </c>
      <c r="AB9" s="40">
        <f>(SUM(E9,F9)/(M9+0.1))/100</f>
        <v>68.4</v>
      </c>
      <c r="AC9" s="40">
        <f>(SUM(E9,F9)/(N9+0.1))/100</f>
        <v>68.4</v>
      </c>
      <c r="AD9" s="10"/>
    </row>
    <row r="10">
      <c r="A10" s="34">
        <f>A9+1</f>
        <v>121</v>
      </c>
      <c r="B10" s="34" t="s">
        <v>186</v>
      </c>
      <c r="C10" s="35" t="s">
        <v>195</v>
      </c>
      <c r="D10" s="35" t="s">
        <v>105</v>
      </c>
      <c r="E10" s="12">
        <v>77</v>
      </c>
      <c r="F10" s="39">
        <v>274</v>
      </c>
      <c r="G10" s="12">
        <v>4.8</v>
      </c>
      <c r="H10" s="39">
        <v>4.6</v>
      </c>
      <c r="I10" s="12">
        <f>((G10*E10)+(H10*F10))/SUM(E10,F10)</f>
        <v>4.643874643874644</v>
      </c>
      <c r="J10" s="39">
        <v>9</v>
      </c>
      <c r="K10" s="39">
        <v>0</v>
      </c>
      <c r="L10" s="39">
        <v>0</v>
      </c>
      <c r="M10" s="39">
        <v>0</v>
      </c>
      <c r="N10" s="12">
        <f>(K10*0.5)+(L10*0.4)+(M10*0.1)</f>
        <v>0</v>
      </c>
      <c r="O10" s="12">
        <v>138</v>
      </c>
      <c r="P10" s="40">
        <f>ABS(G10-H10)</f>
        <v>0.20000000000000018</v>
      </c>
      <c r="Q10" s="40">
        <f>ABS(G10-I10)</f>
        <v>0.15612535612535616</v>
      </c>
      <c r="R10" s="40">
        <f>ABS(H10-I10)</f>
        <v>0.043874643874644015</v>
      </c>
      <c r="S10" s="37">
        <f>SUM(E10,F10)/O10</f>
        <v>2.5434782608695654</v>
      </c>
      <c r="T10" s="37">
        <f>LOG10(E10+F10)*I10</f>
        <v>11.820087179029324</v>
      </c>
      <c r="U10" s="37">
        <f>(K10/O10)*100</f>
        <v>0</v>
      </c>
      <c r="V10" s="37">
        <f>(L10/O10)*100</f>
        <v>0</v>
      </c>
      <c r="W10" s="37">
        <f>(M10/O10)*100</f>
        <v>0</v>
      </c>
      <c r="X10" s="37">
        <f>(N10/O10)*100</f>
        <v>0</v>
      </c>
      <c r="Y10" s="37">
        <f>E10/F10</f>
        <v>0.28102189781021897</v>
      </c>
      <c r="Z10" s="40">
        <f>(SUM(E10,F10)/(K10+0.1))/100</f>
        <v>35.1</v>
      </c>
      <c r="AA10" s="40">
        <f>(SUM(E10,F10)/(L10+0.1))/100</f>
        <v>35.1</v>
      </c>
      <c r="AB10" s="40">
        <f>(SUM(E10,F10)/(M10+0.1))/100</f>
        <v>35.1</v>
      </c>
      <c r="AC10" s="40">
        <f>(SUM(E10,F10)/(N10+0.1))/100</f>
        <v>35.1</v>
      </c>
      <c r="AD10" s="10"/>
    </row>
    <row r="11" ht="39" customHeight="1">
      <c r="A11" s="34">
        <f>A10+1</f>
        <v>122</v>
      </c>
      <c r="B11" s="34" t="s">
        <v>186</v>
      </c>
      <c r="C11" s="35" t="s">
        <v>196</v>
      </c>
      <c r="D11" s="35" t="s">
        <v>105</v>
      </c>
      <c r="E11" s="12">
        <v>176</v>
      </c>
      <c r="F11" s="39">
        <v>164</v>
      </c>
      <c r="G11" s="12">
        <v>4.8</v>
      </c>
      <c r="H11" s="39">
        <v>4.6</v>
      </c>
      <c r="I11" s="12">
        <f>((G11*E11)+(H11*F11))/SUM(E11,F11)</f>
        <v>4.7035294117647055</v>
      </c>
      <c r="J11" s="39">
        <v>10</v>
      </c>
      <c r="K11" s="39">
        <v>0</v>
      </c>
      <c r="L11" s="39">
        <v>0</v>
      </c>
      <c r="M11" s="39">
        <v>0</v>
      </c>
      <c r="N11" s="12">
        <f>(K11*0.5)+(L11*0.4)+(M11*0.1)</f>
        <v>0</v>
      </c>
      <c r="O11" s="12">
        <v>856</v>
      </c>
      <c r="P11" s="40">
        <f>ABS(G11-H11)</f>
        <v>0.20000000000000018</v>
      </c>
      <c r="Q11" s="40">
        <f>ABS(G11-I11)</f>
        <v>0.09647058823529431</v>
      </c>
      <c r="R11" s="40">
        <f>ABS(H11-I11)</f>
        <v>0.10352941176470587</v>
      </c>
      <c r="S11" s="37">
        <f>SUM(E11,F11)/O11</f>
        <v>0.397196261682243</v>
      </c>
      <c r="T11" s="37">
        <f>LOG10(E11+F11)*I11</f>
        <v>11.90688554157051</v>
      </c>
      <c r="U11" s="37">
        <f>(K11/O11)*100</f>
        <v>0</v>
      </c>
      <c r="V11" s="37">
        <f>(L11/O11)*100</f>
        <v>0</v>
      </c>
      <c r="W11" s="37">
        <f>(M11/O11)*100</f>
        <v>0</v>
      </c>
      <c r="X11" s="37">
        <f>(N11/O11)*100</f>
        <v>0</v>
      </c>
      <c r="Y11" s="37">
        <f>E11/F11</f>
        <v>1.0731707317073171</v>
      </c>
      <c r="Z11" s="40">
        <f>(SUM(E11,F11)/(K11+0.1))/100</f>
        <v>34</v>
      </c>
      <c r="AA11" s="40">
        <f>(SUM(E11,F11)/(L11+0.1))/100</f>
        <v>34</v>
      </c>
      <c r="AB11" s="40">
        <f>(SUM(E11,F11)/(M11+0.1))/100</f>
        <v>34</v>
      </c>
      <c r="AC11" s="40">
        <f>(SUM(E11,F11)/(N11+0.1))/100</f>
        <v>34</v>
      </c>
      <c r="AD11" s="10"/>
    </row>
    <row r="12" ht="28.5" customHeight="1">
      <c r="A12" s="34">
        <f>A11+1</f>
        <v>123</v>
      </c>
      <c r="B12" s="34" t="s">
        <v>186</v>
      </c>
      <c r="C12" s="35" t="s">
        <v>197</v>
      </c>
      <c r="D12" s="35" t="s">
        <v>105</v>
      </c>
      <c r="E12" s="12">
        <v>37</v>
      </c>
      <c r="F12" s="39">
        <v>60</v>
      </c>
      <c r="G12" s="12">
        <v>4.9</v>
      </c>
      <c r="H12" s="39">
        <v>4.9</v>
      </c>
      <c r="I12" s="12">
        <f>((G12*E12)+(H12*F12))/SUM(E12,F12)</f>
        <v>4.9</v>
      </c>
      <c r="J12" s="39">
        <v>11</v>
      </c>
      <c r="K12" s="39">
        <v>0</v>
      </c>
      <c r="L12" s="39">
        <v>0</v>
      </c>
      <c r="M12" s="39">
        <v>0</v>
      </c>
      <c r="N12" s="12">
        <f>(K12*0.5)+(L12*0.4)+(M12*0.1)</f>
        <v>0</v>
      </c>
      <c r="O12" s="12">
        <v>878</v>
      </c>
      <c r="P12" s="40">
        <f>ABS(G12-H12)</f>
        <v>0</v>
      </c>
      <c r="Q12" s="40">
        <f>ABS(G12-I12)</f>
        <v>0</v>
      </c>
      <c r="R12" s="40">
        <f>ABS(H12-I12)</f>
        <v>0</v>
      </c>
      <c r="S12" s="37">
        <f>SUM(E12,F12)/O12</f>
        <v>0.11047835990888383</v>
      </c>
      <c r="T12" s="37">
        <f>LOG10(E12+F12)*I12</f>
        <v>9.7351814979046</v>
      </c>
      <c r="U12" s="37">
        <f>(K12/O12)*100</f>
        <v>0</v>
      </c>
      <c r="V12" s="37">
        <f>(L12/O12)*100</f>
        <v>0</v>
      </c>
      <c r="W12" s="37">
        <f>(M12/O12)*100</f>
        <v>0</v>
      </c>
      <c r="X12" s="37">
        <f>(N12/O12)*100</f>
        <v>0</v>
      </c>
      <c r="Y12" s="37">
        <f>E12/F12</f>
        <v>0.6166666666666667</v>
      </c>
      <c r="Z12" s="40">
        <f>(SUM(E12,F12)/(K12+0.1))/100</f>
        <v>9.7</v>
      </c>
      <c r="AA12" s="40">
        <f>(SUM(E12,F12)/(L12+0.1))/100</f>
        <v>9.7</v>
      </c>
      <c r="AB12" s="40">
        <f>(SUM(E12,F12)/(M12+0.1))/100</f>
        <v>9.7</v>
      </c>
      <c r="AC12" s="40">
        <f>(SUM(E12,F12)/(N12+0.1))/100</f>
        <v>9.7</v>
      </c>
      <c r="AD12" s="10"/>
    </row>
    <row r="13">
      <c r="A13" s="34">
        <f>A12+1</f>
        <v>124</v>
      </c>
      <c r="B13" s="34" t="s">
        <v>186</v>
      </c>
      <c r="C13" s="35" t="s">
        <v>198</v>
      </c>
      <c r="D13" s="35" t="s">
        <v>105</v>
      </c>
      <c r="E13" s="12">
        <v>194</v>
      </c>
      <c r="F13" s="39">
        <v>126</v>
      </c>
      <c r="G13" s="12">
        <v>4.6</v>
      </c>
      <c r="H13" s="39">
        <v>4.7</v>
      </c>
      <c r="I13" s="12">
        <f>((G13*E13)+(H13*F13))/SUM(E13,F13)</f>
        <v>4.639374999999999</v>
      </c>
      <c r="J13" s="39">
        <v>12</v>
      </c>
      <c r="K13" s="39">
        <v>0</v>
      </c>
      <c r="L13" s="39">
        <v>0</v>
      </c>
      <c r="M13" s="39">
        <v>0</v>
      </c>
      <c r="N13" s="12">
        <f>(K13*0.5)+(L13*0.4)+(M13*0.1)</f>
        <v>0</v>
      </c>
      <c r="O13" s="12">
        <v>1500</v>
      </c>
      <c r="P13" s="40">
        <f>ABS(G13-H13)</f>
        <v>0.10000000000000053</v>
      </c>
      <c r="Q13" s="40">
        <f>ABS(G13-I13)</f>
        <v>0.039374999999999716</v>
      </c>
      <c r="R13" s="40">
        <f>ABS(H13-I13)</f>
        <v>0.06062500000000082</v>
      </c>
      <c r="S13" s="37">
        <f>SUM(E13,F13)/O13</f>
        <v>0.21333333333333335</v>
      </c>
      <c r="T13" s="37">
        <f>LOG10(E13+F13)*I13</f>
        <v>11.62233018066791</v>
      </c>
      <c r="U13" s="37">
        <f>(K13/O13)*100</f>
        <v>0</v>
      </c>
      <c r="V13" s="37">
        <f>(L13/O13)*100</f>
        <v>0</v>
      </c>
      <c r="W13" s="37">
        <f>(M13/O13)*100</f>
        <v>0</v>
      </c>
      <c r="X13" s="37">
        <f>(N13/O13)*100</f>
        <v>0</v>
      </c>
      <c r="Y13" s="37">
        <f>E13/F13</f>
        <v>1.5396825396825398</v>
      </c>
      <c r="Z13" s="40">
        <f>(SUM(E13,F13)/(K13+0.1))/100</f>
        <v>32</v>
      </c>
      <c r="AA13" s="40">
        <f>(SUM(E13,F13)/(L13+0.1))/100</f>
        <v>32</v>
      </c>
      <c r="AB13" s="40">
        <f>(SUM(E13,F13)/(M13+0.1))/100</f>
        <v>32</v>
      </c>
      <c r="AC13" s="40">
        <f>(SUM(E13,F13)/(N13+0.1))/100</f>
        <v>32</v>
      </c>
      <c r="AD13" s="10"/>
    </row>
    <row r="14">
      <c r="A14" s="34">
        <f>A13+1</f>
        <v>125</v>
      </c>
      <c r="B14" s="34" t="s">
        <v>186</v>
      </c>
      <c r="C14" s="35" t="s">
        <v>199</v>
      </c>
      <c r="D14" s="35" t="s">
        <v>105</v>
      </c>
      <c r="E14" s="12">
        <v>188</v>
      </c>
      <c r="F14" s="39">
        <v>147</v>
      </c>
      <c r="G14" s="12">
        <v>4.4</v>
      </c>
      <c r="H14" s="39">
        <v>4.8</v>
      </c>
      <c r="I14" s="12">
        <f>((G14*E14)+(H14*F14))/SUM(E14,F14)</f>
        <v>4.575522388059702</v>
      </c>
      <c r="J14" s="39">
        <v>13</v>
      </c>
      <c r="K14" s="39">
        <v>0</v>
      </c>
      <c r="L14" s="39">
        <v>0</v>
      </c>
      <c r="M14" s="39">
        <v>0</v>
      </c>
      <c r="N14" s="12">
        <f>(K14*0.5)+(L14*0.4)+(M14*0.1)</f>
        <v>0</v>
      </c>
      <c r="O14" s="12">
        <v>196</v>
      </c>
      <c r="P14" s="40">
        <f>ABS(G14-H14)</f>
        <v>0.39999999999999947</v>
      </c>
      <c r="Q14" s="40">
        <f>ABS(G14-I14)</f>
        <v>0.17552238805970166</v>
      </c>
      <c r="R14" s="40">
        <f>ABS(H14-I14)</f>
        <v>0.2244776119402978</v>
      </c>
      <c r="S14" s="37">
        <f>SUM(E14,F14)/O14</f>
        <v>1.7091836734693877</v>
      </c>
      <c r="T14" s="37">
        <f>LOG10(E14+F14)*I14</f>
        <v>11.553399045450975</v>
      </c>
      <c r="U14" s="37">
        <f>(K14/O14)*100</f>
        <v>0</v>
      </c>
      <c r="V14" s="37">
        <f>(L14/O14)*100</f>
        <v>0</v>
      </c>
      <c r="W14" s="37">
        <f>(M14/O14)*100</f>
        <v>0</v>
      </c>
      <c r="X14" s="37">
        <f>(N14/O14)*100</f>
        <v>0</v>
      </c>
      <c r="Y14" s="37">
        <f>E14/F14</f>
        <v>1.2789115646258504</v>
      </c>
      <c r="Z14" s="40">
        <f>(SUM(E14,F14)/(K14+0.1))/100</f>
        <v>33.5</v>
      </c>
      <c r="AA14" s="40">
        <f>(SUM(E14,F14)/(L14+0.1))/100</f>
        <v>33.5</v>
      </c>
      <c r="AB14" s="40">
        <f>(SUM(E14,F14)/(M14+0.1))/100</f>
        <v>33.5</v>
      </c>
      <c r="AC14" s="40">
        <f>(SUM(E14,F14)/(N14+0.1))/100</f>
        <v>33.5</v>
      </c>
      <c r="AD14" s="10"/>
    </row>
    <row r="15">
      <c r="A15" s="34">
        <f>A14+1</f>
        <v>126</v>
      </c>
      <c r="B15" s="34" t="s">
        <v>186</v>
      </c>
      <c r="C15" s="35" t="s">
        <v>200</v>
      </c>
      <c r="D15" s="35" t="s">
        <v>105</v>
      </c>
      <c r="E15" s="12">
        <v>723</v>
      </c>
      <c r="F15" s="39">
        <v>579</v>
      </c>
      <c r="G15" s="12">
        <v>4.3</v>
      </c>
      <c r="H15" s="39">
        <v>4.4</v>
      </c>
      <c r="I15" s="12">
        <f>((G15*E15)+(H15*F15))/SUM(E15,F15)</f>
        <v>4.344470046082949</v>
      </c>
      <c r="J15" s="39">
        <v>14</v>
      </c>
      <c r="K15" s="39">
        <v>0</v>
      </c>
      <c r="L15" s="39">
        <v>0</v>
      </c>
      <c r="M15" s="39">
        <v>0</v>
      </c>
      <c r="N15" s="12">
        <f>(K15*0.5)+(L15*0.4)+(M15*0.1)</f>
        <v>0</v>
      </c>
      <c r="O15" s="12">
        <v>1000</v>
      </c>
      <c r="P15" s="40">
        <f>ABS(G15-H15)</f>
        <v>0.10000000000000053</v>
      </c>
      <c r="Q15" s="40">
        <f>ABS(G15-I15)</f>
        <v>0.044470046082949466</v>
      </c>
      <c r="R15" s="40">
        <f>ABS(H15-I15)</f>
        <v>0.05552995391705107</v>
      </c>
      <c r="S15" s="37">
        <f>SUM(E15,F15)/O15</f>
        <v>1.302</v>
      </c>
      <c r="T15" s="37">
        <f>LOG10(E15+F15)*I15</f>
        <v>13.531334126197608</v>
      </c>
      <c r="U15" s="37">
        <f>(K15/O15)*100</f>
        <v>0</v>
      </c>
      <c r="V15" s="37">
        <f>(L15/O15)*100</f>
        <v>0</v>
      </c>
      <c r="W15" s="37">
        <f>(M15/O15)*100</f>
        <v>0</v>
      </c>
      <c r="X15" s="37">
        <f>(N15/O15)*100</f>
        <v>0</v>
      </c>
      <c r="Y15" s="37">
        <f>E15/F15</f>
        <v>1.2487046632124352</v>
      </c>
      <c r="Z15" s="40">
        <f>(SUM(E15,F15)/(K15+0.1))/100</f>
        <v>130.2</v>
      </c>
      <c r="AA15" s="40">
        <f>(SUM(E15,F15)/(L15+0.1))/100</f>
        <v>130.2</v>
      </c>
      <c r="AB15" s="40">
        <f>(SUM(E15,F15)/(M15+0.1))/100</f>
        <v>130.2</v>
      </c>
      <c r="AC15" s="40">
        <f>(SUM(E15,F15)/(N15+0.1))/100</f>
        <v>130.2</v>
      </c>
      <c r="AD15" s="10"/>
    </row>
    <row r="16" ht="30.75">
      <c r="A16" s="34">
        <f>A15+1</f>
        <v>127</v>
      </c>
      <c r="B16" s="34" t="s">
        <v>186</v>
      </c>
      <c r="C16" s="35" t="s">
        <v>201</v>
      </c>
      <c r="D16" s="35" t="s">
        <v>105</v>
      </c>
      <c r="E16" s="12">
        <v>1259</v>
      </c>
      <c r="F16" s="39">
        <v>809</v>
      </c>
      <c r="G16" s="12">
        <v>4.1</v>
      </c>
      <c r="H16" s="39">
        <v>4.1</v>
      </c>
      <c r="I16" s="12">
        <f>((G16*E16)+(H16*F16))/SUM(E16,F16)</f>
        <v>4.1</v>
      </c>
      <c r="J16" s="39">
        <v>15</v>
      </c>
      <c r="K16" s="39">
        <v>0</v>
      </c>
      <c r="L16" s="39">
        <v>0</v>
      </c>
      <c r="M16" s="39">
        <v>0</v>
      </c>
      <c r="N16" s="12">
        <f>(K16*0.5)+(L16*0.4)+(M16*0.1)</f>
        <v>0</v>
      </c>
      <c r="O16" s="12">
        <v>1050</v>
      </c>
      <c r="P16" s="40">
        <f>ABS(G16-H16)</f>
        <v>0</v>
      </c>
      <c r="Q16" s="40">
        <f>ABS(G16-I16)</f>
        <v>0</v>
      </c>
      <c r="R16" s="40">
        <f>ABS(H16-I16)</f>
        <v>0</v>
      </c>
      <c r="S16" s="37">
        <f>SUM(E16,F16)/O16</f>
        <v>1.9695238095238095</v>
      </c>
      <c r="T16" s="37">
        <f>LOG10(E16+F16)*I16</f>
        <v>13.593757191129809</v>
      </c>
      <c r="U16" s="37">
        <f>(K16/O16)*100</f>
        <v>0</v>
      </c>
      <c r="V16" s="37">
        <f>(L16/O16)*100</f>
        <v>0</v>
      </c>
      <c r="W16" s="37">
        <f>(M16/O16)*100</f>
        <v>0</v>
      </c>
      <c r="X16" s="37">
        <f>(N16/O16)*100</f>
        <v>0</v>
      </c>
      <c r="Y16" s="37">
        <f>E16/F16</f>
        <v>1.5562422744128555</v>
      </c>
      <c r="Z16" s="40">
        <f>(SUM(E16,F16)/(K16+0.1))/100</f>
        <v>206.8</v>
      </c>
      <c r="AA16" s="40">
        <f>(SUM(E16,F16)/(L16+0.1))/100</f>
        <v>206.8</v>
      </c>
      <c r="AB16" s="40">
        <f>(SUM(E16,F16)/(M16+0.1))/100</f>
        <v>206.8</v>
      </c>
      <c r="AC16" s="40">
        <f>(SUM(E16,F16)/(N16+0.1))/100</f>
        <v>206.8</v>
      </c>
      <c r="AD16" s="10"/>
    </row>
    <row r="17">
      <c r="A17" s="34">
        <f>A16+1</f>
        <v>128</v>
      </c>
      <c r="B17" s="34" t="s">
        <v>186</v>
      </c>
      <c r="C17" s="35" t="s">
        <v>202</v>
      </c>
      <c r="D17" s="35" t="s">
        <v>105</v>
      </c>
      <c r="E17" s="12">
        <v>15</v>
      </c>
      <c r="F17" s="39">
        <v>288</v>
      </c>
      <c r="G17" s="12">
        <v>3.8</v>
      </c>
      <c r="H17" s="39">
        <v>4.7</v>
      </c>
      <c r="I17" s="12">
        <f>((G17*E17)+(H17*F17))/SUM(E17,F17)</f>
        <v>4.655445544554456</v>
      </c>
      <c r="J17" s="39">
        <v>16</v>
      </c>
      <c r="K17" s="39">
        <v>0</v>
      </c>
      <c r="L17" s="39">
        <v>0</v>
      </c>
      <c r="M17" s="39">
        <v>0</v>
      </c>
      <c r="N17" s="12">
        <f>(K17*0.5)+(L17*0.4)+(M17*0.1)</f>
        <v>0</v>
      </c>
      <c r="O17" s="12">
        <v>1200</v>
      </c>
      <c r="P17" s="40">
        <f>ABS(G17-H17)</f>
        <v>0.9000000000000004</v>
      </c>
      <c r="Q17" s="40">
        <f>ABS(G17-I17)</f>
        <v>0.8554455445544562</v>
      </c>
      <c r="R17" s="40">
        <f>ABS(H17-I17)</f>
        <v>0.04455445544554415</v>
      </c>
      <c r="S17" s="37">
        <f>SUM(E17,F17)/O17</f>
        <v>0.2525</v>
      </c>
      <c r="T17" s="37">
        <f>LOG10(E17+F17)*I17</f>
        <v>11.552221028928553</v>
      </c>
      <c r="U17" s="37">
        <f>(K17/O17)*100</f>
        <v>0</v>
      </c>
      <c r="V17" s="37">
        <f>(L17/O17)*100</f>
        <v>0</v>
      </c>
      <c r="W17" s="37">
        <f>(M17/O17)*100</f>
        <v>0</v>
      </c>
      <c r="X17" s="37">
        <f>(N17/O17)*100</f>
        <v>0</v>
      </c>
      <c r="Y17" s="37">
        <f>E17/F17</f>
        <v>0.052083333333333336</v>
      </c>
      <c r="Z17" s="40">
        <f>(SUM(E17,F17)/(K17+0.1))/100</f>
        <v>30.3</v>
      </c>
      <c r="AA17" s="40">
        <f>(SUM(E17,F17)/(L17+0.1))/100</f>
        <v>30.3</v>
      </c>
      <c r="AB17" s="40">
        <f>(SUM(E17,F17)/(M17+0.1))/100</f>
        <v>30.3</v>
      </c>
      <c r="AC17" s="40">
        <f>(SUM(E17,F17)/(N17+0.1))/100</f>
        <v>30.3</v>
      </c>
      <c r="AD17" s="10"/>
    </row>
    <row r="18" ht="30.75">
      <c r="A18" s="34">
        <f>A17+1</f>
        <v>129</v>
      </c>
      <c r="B18" s="34" t="s">
        <v>186</v>
      </c>
      <c r="C18" s="35" t="s">
        <v>203</v>
      </c>
      <c r="D18" s="35" t="s">
        <v>105</v>
      </c>
      <c r="E18" s="12">
        <v>138</v>
      </c>
      <c r="F18" s="39">
        <v>228</v>
      </c>
      <c r="G18" s="12">
        <v>4.3</v>
      </c>
      <c r="H18" s="39">
        <v>4.4</v>
      </c>
      <c r="I18" s="12">
        <f>((G18*E18)+(H18*F18))/SUM(E18,F18)</f>
        <v>4.362295081967213</v>
      </c>
      <c r="J18" s="39">
        <v>17</v>
      </c>
      <c r="K18" s="39">
        <v>0</v>
      </c>
      <c r="L18" s="39">
        <v>0</v>
      </c>
      <c r="M18" s="39">
        <v>0</v>
      </c>
      <c r="N18" s="12">
        <f>(K18*0.5)+(L18*0.4)+(M18*0.1)</f>
        <v>0</v>
      </c>
      <c r="O18" s="12">
        <v>431</v>
      </c>
      <c r="P18" s="40">
        <f>ABS(G18-H18)</f>
        <v>0.10000000000000053</v>
      </c>
      <c r="Q18" s="40">
        <f>ABS(G18-I18)</f>
        <v>0.06229508196721323</v>
      </c>
      <c r="R18" s="40">
        <f>ABS(H18-I18)</f>
        <v>0.037704918032787305</v>
      </c>
      <c r="S18" s="37">
        <f>SUM(E18,F18)/O18</f>
        <v>0.8491879350348028</v>
      </c>
      <c r="T18" s="37">
        <f>LOG10(E18+F18)*I18</f>
        <v>11.182660931532011</v>
      </c>
      <c r="U18" s="37">
        <f>(K18/O18)*100</f>
        <v>0</v>
      </c>
      <c r="V18" s="37">
        <f>(L18/O18)*100</f>
        <v>0</v>
      </c>
      <c r="W18" s="37">
        <f>(M18/O18)*100</f>
        <v>0</v>
      </c>
      <c r="X18" s="37">
        <f>(N18/O18)*100</f>
        <v>0</v>
      </c>
      <c r="Y18" s="37">
        <f>E18/F18</f>
        <v>0.6052631578947368</v>
      </c>
      <c r="Z18" s="40">
        <f>(SUM(E18,F18)/(K18+0.1))/100</f>
        <v>36.6</v>
      </c>
      <c r="AA18" s="40">
        <f>(SUM(E18,F18)/(L18+0.1))/100</f>
        <v>36.6</v>
      </c>
      <c r="AB18" s="40">
        <f>(SUM(E18,F18)/(M18+0.1))/100</f>
        <v>36.6</v>
      </c>
      <c r="AC18" s="40">
        <f>(SUM(E18,F18)/(N18+0.1))/100</f>
        <v>36.6</v>
      </c>
      <c r="AD18" s="10"/>
    </row>
    <row r="19">
      <c r="A19" s="34">
        <f>A18+1</f>
        <v>130</v>
      </c>
      <c r="B19" s="34" t="s">
        <v>186</v>
      </c>
      <c r="C19" s="35" t="s">
        <v>204</v>
      </c>
      <c r="D19" s="35" t="s">
        <v>105</v>
      </c>
      <c r="E19" s="12">
        <v>47</v>
      </c>
      <c r="F19" s="39">
        <v>147</v>
      </c>
      <c r="G19" s="12">
        <v>4.1</v>
      </c>
      <c r="H19" s="39">
        <v>4.6</v>
      </c>
      <c r="I19" s="12">
        <f>((G19*E19)+(H19*F19))/SUM(E19,F19)</f>
        <v>4.4788659793814425</v>
      </c>
      <c r="J19" s="39">
        <v>18</v>
      </c>
      <c r="K19" s="39">
        <v>0</v>
      </c>
      <c r="L19" s="39">
        <v>0</v>
      </c>
      <c r="M19" s="39">
        <v>0</v>
      </c>
      <c r="N19" s="12">
        <f>(K19*0.5)+(L19*0.4)+(M19*0.1)</f>
        <v>0</v>
      </c>
      <c r="O19" s="12">
        <v>584</v>
      </c>
      <c r="P19" s="40">
        <f>ABS(G19-H19)</f>
        <v>0.5</v>
      </c>
      <c r="Q19" s="40">
        <f>ABS(G19-I19)</f>
        <v>0.37886597938144284</v>
      </c>
      <c r="R19" s="40">
        <f>ABS(H19-I19)</f>
        <v>0.12113402061855716</v>
      </c>
      <c r="S19" s="37">
        <f>SUM(E19,F19)/O19</f>
        <v>0.3321917808219178</v>
      </c>
      <c r="T19" s="37">
        <f>LOG10(E19+F19)*I19</f>
        <v>10.2467573357545</v>
      </c>
      <c r="U19" s="37">
        <f>(K19/O19)*100</f>
        <v>0</v>
      </c>
      <c r="V19" s="37">
        <f>(L19/O19)*100</f>
        <v>0</v>
      </c>
      <c r="W19" s="37">
        <f>(M19/O19)*100</f>
        <v>0</v>
      </c>
      <c r="X19" s="37">
        <f>(N19/O19)*100</f>
        <v>0</v>
      </c>
      <c r="Y19" s="37">
        <f>E19/F19</f>
        <v>0.3197278911564626</v>
      </c>
      <c r="Z19" s="40">
        <f>(SUM(E19,F19)/(K19+0.1))/100</f>
        <v>19.4</v>
      </c>
      <c r="AA19" s="40">
        <f>(SUM(E19,F19)/(L19+0.1))/100</f>
        <v>19.4</v>
      </c>
      <c r="AB19" s="40">
        <f>(SUM(E19,F19)/(M19+0.1))/100</f>
        <v>19.4</v>
      </c>
      <c r="AC19" s="40">
        <f>(SUM(E19,F19)/(N19+0.1))/100</f>
        <v>19.4</v>
      </c>
      <c r="AD19" s="10"/>
    </row>
    <row r="20">
      <c r="A20" s="34">
        <f>A19+1</f>
        <v>131</v>
      </c>
      <c r="B20" s="34" t="s">
        <v>186</v>
      </c>
      <c r="C20" s="35" t="s">
        <v>205</v>
      </c>
      <c r="D20" s="35" t="s">
        <v>105</v>
      </c>
      <c r="E20" s="12">
        <v>100</v>
      </c>
      <c r="F20" s="39">
        <v>123</v>
      </c>
      <c r="G20" s="12">
        <v>4.4</v>
      </c>
      <c r="H20" s="39">
        <v>4.6</v>
      </c>
      <c r="I20" s="12">
        <f>((G20*E20)+(H20*F20))/SUM(E20,F20)</f>
        <v>4.510313901345291</v>
      </c>
      <c r="J20" s="39">
        <v>19</v>
      </c>
      <c r="K20" s="39">
        <v>0</v>
      </c>
      <c r="L20" s="39">
        <v>0</v>
      </c>
      <c r="M20" s="39">
        <v>0</v>
      </c>
      <c r="N20" s="12">
        <f>(K20*0.5)+(L20*0.4)+(M20*0.1)</f>
        <v>0</v>
      </c>
      <c r="O20" s="12">
        <v>210</v>
      </c>
      <c r="P20" s="40">
        <f>ABS(G20-H20)</f>
        <v>0.1999999999999993</v>
      </c>
      <c r="Q20" s="40">
        <f>ABS(G20-I20)</f>
        <v>0.11031390134529051</v>
      </c>
      <c r="R20" s="40">
        <f>ABS(H20-I20)</f>
        <v>0.08968609865470878</v>
      </c>
      <c r="S20" s="37">
        <f>SUM(E20,F20)/O20</f>
        <v>1.061904761904762</v>
      </c>
      <c r="T20" s="37">
        <f>LOG10(E20+F20)*I20</f>
        <v>10.591592068402868</v>
      </c>
      <c r="U20" s="37">
        <f>(K20/O20)*100</f>
        <v>0</v>
      </c>
      <c r="V20" s="37">
        <f>(L20/O20)*100</f>
        <v>0</v>
      </c>
      <c r="W20" s="37">
        <f>(M20/O20)*100</f>
        <v>0</v>
      </c>
      <c r="X20" s="37">
        <f>(N20/O20)*100</f>
        <v>0</v>
      </c>
      <c r="Y20" s="37">
        <f>E20/F20</f>
        <v>0.8130081300813008</v>
      </c>
      <c r="Z20" s="40">
        <f>(SUM(E20,F20)/(K20+0.1))/100</f>
        <v>22.3</v>
      </c>
      <c r="AA20" s="40">
        <f>(SUM(E20,F20)/(L20+0.1))/100</f>
        <v>22.3</v>
      </c>
      <c r="AB20" s="40">
        <f>(SUM(E20,F20)/(M20+0.1))/100</f>
        <v>22.3</v>
      </c>
      <c r="AC20" s="40">
        <f>(SUM(E20,F20)/(N20+0.1))/100</f>
        <v>22.3</v>
      </c>
      <c r="AD20" s="10"/>
    </row>
    <row r="21" s="2" customFormat="1">
      <c r="A21" s="34">
        <f>A20+1</f>
        <v>132</v>
      </c>
      <c r="B21" s="34" t="s">
        <v>186</v>
      </c>
      <c r="C21" s="35" t="s">
        <v>206</v>
      </c>
      <c r="D21" s="35" t="s">
        <v>105</v>
      </c>
      <c r="E21" s="12">
        <v>134</v>
      </c>
      <c r="F21" s="39">
        <v>184</v>
      </c>
      <c r="G21" s="12">
        <v>4.3</v>
      </c>
      <c r="H21" s="39">
        <v>4.3</v>
      </c>
      <c r="I21" s="12">
        <f>((G21*E21)+(H21*F21))/SUM(E21,F21)</f>
        <v>4.3</v>
      </c>
      <c r="J21" s="39">
        <v>20</v>
      </c>
      <c r="K21" s="39">
        <v>0</v>
      </c>
      <c r="L21" s="39">
        <v>0</v>
      </c>
      <c r="M21" s="39">
        <v>0</v>
      </c>
      <c r="N21" s="12">
        <f>(K21*0.5)+(L21*0.4)+(M21*0.1)</f>
        <v>0</v>
      </c>
      <c r="O21" s="12">
        <v>534</v>
      </c>
      <c r="P21" s="40">
        <f>ABS(G21-H21)</f>
        <v>0</v>
      </c>
      <c r="Q21" s="40">
        <f>ABS(G21-I21)</f>
        <v>0</v>
      </c>
      <c r="R21" s="40">
        <f>ABS(H21-I21)</f>
        <v>0</v>
      </c>
      <c r="S21" s="37">
        <f>SUM(E21,F21)/O21</f>
        <v>0.5955056179775281</v>
      </c>
      <c r="T21" s="37">
        <f>LOG10(E21+F21)*I21</f>
        <v>10.76043661593306</v>
      </c>
      <c r="U21" s="37">
        <f>(K21/O21)*100</f>
        <v>0</v>
      </c>
      <c r="V21" s="37">
        <f>(L21/O21)*100</f>
        <v>0</v>
      </c>
      <c r="W21" s="37">
        <f>(M21/O21)*100</f>
        <v>0</v>
      </c>
      <c r="X21" s="37">
        <f>(N21/O21)*100</f>
        <v>0</v>
      </c>
      <c r="Y21" s="37">
        <f>E21/F21</f>
        <v>0.7282608695652174</v>
      </c>
      <c r="Z21" s="40">
        <f>(SUM(E21,F21)/(K21+0.1))/100</f>
        <v>31.8</v>
      </c>
      <c r="AA21" s="40">
        <f>(SUM(E21,F21)/(L21+0.1))/100</f>
        <v>31.8</v>
      </c>
      <c r="AB21" s="40">
        <f>(SUM(E21,F21)/(M21+0.1))/100</f>
        <v>31.8</v>
      </c>
      <c r="AC21" s="40">
        <f>(SUM(E21,F21)/(N21+0.1))/100</f>
        <v>31.8</v>
      </c>
      <c r="AD21" s="10"/>
    </row>
    <row r="22">
      <c r="A22" s="34">
        <f>A21+1</f>
        <v>133</v>
      </c>
      <c r="B22" s="34" t="s">
        <v>186</v>
      </c>
      <c r="C22" s="35" t="s">
        <v>207</v>
      </c>
      <c r="D22" s="35" t="s">
        <v>105</v>
      </c>
      <c r="E22" s="13">
        <v>162</v>
      </c>
      <c r="F22" s="39">
        <v>77</v>
      </c>
      <c r="G22" s="13">
        <v>4.7</v>
      </c>
      <c r="H22" s="39">
        <v>4.7</v>
      </c>
      <c r="I22" s="12">
        <f>((G22*E22)+(H22*F22))/SUM(E22,F22)</f>
        <v>4.7</v>
      </c>
      <c r="J22" s="39">
        <v>21</v>
      </c>
      <c r="K22" s="39">
        <v>0</v>
      </c>
      <c r="L22" s="39">
        <v>0</v>
      </c>
      <c r="M22" s="39">
        <v>0</v>
      </c>
      <c r="N22" s="12">
        <f>(K22*0.5)+(L22*0.4)+(M22*0.1)</f>
        <v>0</v>
      </c>
      <c r="O22" s="12">
        <v>220</v>
      </c>
      <c r="P22" s="40">
        <f>ABS(G22-H22)</f>
        <v>0</v>
      </c>
      <c r="Q22" s="40">
        <f>ABS(G22-I22)</f>
        <v>0</v>
      </c>
      <c r="R22" s="40">
        <f>ABS(H22-I22)</f>
        <v>0</v>
      </c>
      <c r="S22" s="37">
        <f>SUM(E22,F22)/O22</f>
        <v>1.0863636363636364</v>
      </c>
      <c r="T22" s="37">
        <f>LOG10(E22+F22)*I22</f>
        <v>11.178470134456246</v>
      </c>
      <c r="U22" s="37">
        <f>(K22/O22)*100</f>
        <v>0</v>
      </c>
      <c r="V22" s="37">
        <f>(L22/O22)*100</f>
        <v>0</v>
      </c>
      <c r="W22" s="37">
        <f>(M22/O22)*100</f>
        <v>0</v>
      </c>
      <c r="X22" s="37">
        <f>(N22/O22)*100</f>
        <v>0</v>
      </c>
      <c r="Y22" s="37">
        <f>E22/F22</f>
        <v>2.103896103896104</v>
      </c>
      <c r="Z22" s="40">
        <f>(SUM(E22,F22)/(K22+0.1))/100</f>
        <v>23.9</v>
      </c>
      <c r="AA22" s="40">
        <f>(SUM(E22,F22)/(L22+0.1))/100</f>
        <v>23.9</v>
      </c>
      <c r="AB22" s="40">
        <f>(SUM(E22,F22)/(M22+0.1))/100</f>
        <v>23.9</v>
      </c>
      <c r="AC22" s="40">
        <f>(SUM(E22,F22)/(N22+0.1))/100</f>
        <v>23.9</v>
      </c>
      <c r="AD22" s="10"/>
    </row>
    <row r="23">
      <c r="A23" s="34">
        <f>A22+1</f>
        <v>134</v>
      </c>
      <c r="B23" s="34" t="s">
        <v>186</v>
      </c>
      <c r="C23" s="35" t="s">
        <v>208</v>
      </c>
      <c r="D23" s="35" t="s">
        <v>105</v>
      </c>
      <c r="E23" s="12">
        <v>74</v>
      </c>
      <c r="F23" s="39">
        <v>125</v>
      </c>
      <c r="G23" s="12">
        <v>4.3</v>
      </c>
      <c r="H23" s="39">
        <v>4.6</v>
      </c>
      <c r="I23" s="12">
        <f>((G23*E23)+(H23*F23))/SUM(E23,F23)</f>
        <v>4.488442211055276</v>
      </c>
      <c r="J23" s="39">
        <v>22</v>
      </c>
      <c r="K23" s="39">
        <v>0</v>
      </c>
      <c r="L23" s="39">
        <v>0</v>
      </c>
      <c r="M23" s="39">
        <v>0</v>
      </c>
      <c r="N23" s="12">
        <f>(K23*0.5)+(L23*0.4)+(M23*0.1)</f>
        <v>0</v>
      </c>
      <c r="O23" s="12">
        <v>508</v>
      </c>
      <c r="P23" s="40">
        <f>ABS(G23-H23)</f>
        <v>0.2999999999999998</v>
      </c>
      <c r="Q23" s="40">
        <f>ABS(G23-I23)</f>
        <v>0.1884422110552766</v>
      </c>
      <c r="R23" s="40">
        <f>ABS(H23-I23)</f>
        <v>0.11155778894472324</v>
      </c>
      <c r="S23" s="37">
        <f>SUM(E23,F23)/O23</f>
        <v>0.39173228346456695</v>
      </c>
      <c r="T23" s="37">
        <f>LOG10(E23+F23)*I23</f>
        <v>10.318269185171609</v>
      </c>
      <c r="U23" s="37">
        <f>(K23/O23)*100</f>
        <v>0</v>
      </c>
      <c r="V23" s="37">
        <f>(L23/O23)*100</f>
        <v>0</v>
      </c>
      <c r="W23" s="37">
        <f>(M23/O23)*100</f>
        <v>0</v>
      </c>
      <c r="X23" s="37">
        <f>(N23/O23)*100</f>
        <v>0</v>
      </c>
      <c r="Y23" s="37">
        <f>E23/F23</f>
        <v>0.592</v>
      </c>
      <c r="Z23" s="40">
        <f>(SUM(E23,F23)/(K23+0.1))/100</f>
        <v>19.9</v>
      </c>
      <c r="AA23" s="40">
        <f>(SUM(E23,F23)/(L23+0.1))/100</f>
        <v>19.9</v>
      </c>
      <c r="AB23" s="40">
        <f>(SUM(E23,F23)/(M23+0.1))/100</f>
        <v>19.9</v>
      </c>
      <c r="AC23" s="40">
        <f>(SUM(E23,F23)/(N23+0.1))/100</f>
        <v>19.9</v>
      </c>
      <c r="AD23" s="10"/>
    </row>
    <row r="24">
      <c r="A24" s="34">
        <f>A23+1</f>
        <v>135</v>
      </c>
      <c r="B24" s="34" t="s">
        <v>186</v>
      </c>
      <c r="C24" s="35" t="s">
        <v>209</v>
      </c>
      <c r="D24" s="35" t="s">
        <v>105</v>
      </c>
      <c r="E24" s="12">
        <v>242</v>
      </c>
      <c r="F24" s="39">
        <v>273</v>
      </c>
      <c r="G24" s="12">
        <v>4.1</v>
      </c>
      <c r="H24" s="39">
        <v>4.1</v>
      </c>
      <c r="I24" s="12">
        <f>((G24*E24)+(H24*F24))/SUM(E24,F24)</f>
        <v>4.1</v>
      </c>
      <c r="J24" s="39">
        <v>23</v>
      </c>
      <c r="K24" s="39">
        <v>0</v>
      </c>
      <c r="L24" s="39">
        <v>0</v>
      </c>
      <c r="M24" s="39">
        <v>0</v>
      </c>
      <c r="N24" s="12">
        <f>(K24*0.5)+(L24*0.4)+(M24*0.1)</f>
        <v>0</v>
      </c>
      <c r="O24" s="12">
        <v>227</v>
      </c>
      <c r="P24" s="40">
        <f>ABS(G24-H24)</f>
        <v>0</v>
      </c>
      <c r="Q24" s="40">
        <f>ABS(G24-I24)</f>
        <v>0</v>
      </c>
      <c r="R24" s="40">
        <f>ABS(H24-I24)</f>
        <v>0</v>
      </c>
      <c r="S24" s="37">
        <f>SUM(E24,F24)/O24</f>
        <v>2.2687224669603525</v>
      </c>
      <c r="T24" s="37">
        <f>LOG10(E24+F24)*I24</f>
        <v>11.118409639068883</v>
      </c>
      <c r="U24" s="37">
        <f>(K24/O24)*100</f>
        <v>0</v>
      </c>
      <c r="V24" s="37">
        <f>(L24/O24)*100</f>
        <v>0</v>
      </c>
      <c r="W24" s="37">
        <f>(M24/O24)*100</f>
        <v>0</v>
      </c>
      <c r="X24" s="37">
        <f>(N24/O24)*100</f>
        <v>0</v>
      </c>
      <c r="Y24" s="37">
        <f>E24/F24</f>
        <v>0.8864468864468864</v>
      </c>
      <c r="Z24" s="40">
        <f>(SUM(E24,F24)/(K24+0.1))/100</f>
        <v>51.5</v>
      </c>
      <c r="AA24" s="40">
        <f>(SUM(E24,F24)/(L24+0.1))/100</f>
        <v>51.5</v>
      </c>
      <c r="AB24" s="40">
        <f>(SUM(E24,F24)/(M24+0.1))/100</f>
        <v>51.5</v>
      </c>
      <c r="AC24" s="40">
        <f>(SUM(E24,F24)/(N24+0.1))/100</f>
        <v>51.5</v>
      </c>
      <c r="AD24" s="10"/>
    </row>
    <row r="25">
      <c r="A25" s="34">
        <f>A24+1</f>
        <v>136</v>
      </c>
      <c r="B25" s="34" t="s">
        <v>186</v>
      </c>
      <c r="C25" s="35" t="s">
        <v>210</v>
      </c>
      <c r="D25" s="35" t="s">
        <v>105</v>
      </c>
      <c r="E25" s="12">
        <v>86</v>
      </c>
      <c r="F25" s="39">
        <v>76</v>
      </c>
      <c r="G25" s="12">
        <v>3.9</v>
      </c>
      <c r="H25" s="39">
        <v>4.4</v>
      </c>
      <c r="I25" s="12">
        <f>((G25*E25)+(H25*F25))/SUM(E25,F25)</f>
        <v>4.1345679012345675</v>
      </c>
      <c r="J25" s="39">
        <v>24</v>
      </c>
      <c r="K25" s="39">
        <v>0</v>
      </c>
      <c r="L25" s="39">
        <v>0</v>
      </c>
      <c r="M25" s="39">
        <v>25</v>
      </c>
      <c r="N25" s="12">
        <f>(K25*0.5)+(L25*0.4)+(M25*0.1)</f>
        <v>2.5</v>
      </c>
      <c r="O25" s="13">
        <v>1780</v>
      </c>
      <c r="P25" s="40">
        <f>ABS(G25-H25)</f>
        <v>0.5000000000000004</v>
      </c>
      <c r="Q25" s="40">
        <f>ABS(G25-I25)</f>
        <v>0.2345679012345676</v>
      </c>
      <c r="R25" s="40">
        <f>ABS(H25-I25)</f>
        <v>0.26543209876543283</v>
      </c>
      <c r="S25" s="37">
        <f>SUM(E25,F25)/O25</f>
        <v>0.09101123595505618</v>
      </c>
      <c r="T25" s="37">
        <f>LOG10(E25+F25)*I25</f>
        <v>9.13538985642379</v>
      </c>
      <c r="U25" s="37">
        <f>(K25/O25)*100</f>
        <v>0</v>
      </c>
      <c r="V25" s="37">
        <f>(L25/O25)*100</f>
        <v>0</v>
      </c>
      <c r="W25" s="37">
        <f>(M25/O25)*100</f>
        <v>1.4044943820224718</v>
      </c>
      <c r="X25" s="37">
        <f>(N25/O25)*100</f>
        <v>0.1404494382022472</v>
      </c>
      <c r="Y25" s="37">
        <f>E25/F25</f>
        <v>1.131578947368421</v>
      </c>
      <c r="Z25" s="40">
        <f>(SUM(E25,F25)/(K25+0.1))/100</f>
        <v>16.2</v>
      </c>
      <c r="AA25" s="40">
        <f>(SUM(E25,F25)/(L25+0.1))/100</f>
        <v>16.2</v>
      </c>
      <c r="AB25" s="40">
        <f>(SUM(E25,F25)/(M25+0.1))/100</f>
        <v>0.0645418326693227</v>
      </c>
      <c r="AC25" s="40">
        <f>(SUM(E25,F25)/(N25+0.1))/100</f>
        <v>0.6230769230769231</v>
      </c>
      <c r="AD25" s="10"/>
    </row>
    <row r="26">
      <c r="A26" s="34">
        <f>A25+1</f>
        <v>137</v>
      </c>
      <c r="B26" s="34" t="s">
        <v>186</v>
      </c>
      <c r="C26" s="35" t="s">
        <v>211</v>
      </c>
      <c r="D26" s="35" t="s">
        <v>105</v>
      </c>
      <c r="E26" s="12">
        <v>164</v>
      </c>
      <c r="F26" s="39">
        <v>32</v>
      </c>
      <c r="G26" s="12">
        <v>4.9</v>
      </c>
      <c r="H26" s="39">
        <v>4.8</v>
      </c>
      <c r="I26" s="12">
        <f>((G26*E26)+(H26*F26))/SUM(E26,F26)</f>
        <v>4.883673469387755</v>
      </c>
      <c r="J26" s="39">
        <v>25</v>
      </c>
      <c r="K26" s="39">
        <v>0</v>
      </c>
      <c r="L26" s="39">
        <v>0</v>
      </c>
      <c r="M26" s="39">
        <v>0</v>
      </c>
      <c r="N26" s="12">
        <f>(K26*0.5)+(L26*0.4)+(M26*0.1)</f>
        <v>0</v>
      </c>
      <c r="O26" s="40">
        <v>708</v>
      </c>
      <c r="P26" s="40">
        <f>ABS(G26-H26)</f>
        <v>0.10000000000000053</v>
      </c>
      <c r="Q26" s="40">
        <f>ABS(G26-I26)</f>
        <v>0.016326530612245094</v>
      </c>
      <c r="R26" s="40">
        <f>ABS(H26-I26)</f>
        <v>0.08367346938775544</v>
      </c>
      <c r="S26" s="40">
        <f>SUM(E26,F26)/O26</f>
        <v>0.2768361581920904</v>
      </c>
      <c r="T26" s="37">
        <f>LOG10(E26+F26)*I26</f>
        <v>11.194630160726627</v>
      </c>
      <c r="U26" s="37">
        <f>(K26/O26)*100</f>
        <v>0</v>
      </c>
      <c r="V26" s="37">
        <f>(L26/O26)*100</f>
        <v>0</v>
      </c>
      <c r="W26" s="37">
        <f>(M26/O26)*100</f>
        <v>0</v>
      </c>
      <c r="X26" s="40">
        <f>(N26/O26)*100</f>
        <v>0</v>
      </c>
      <c r="Y26" s="37">
        <f>E26/F26</f>
        <v>5.125</v>
      </c>
      <c r="Z26" s="40">
        <f>(SUM(E26,F26)/(K26+0.1))/100</f>
        <v>19.6</v>
      </c>
      <c r="AA26" s="40">
        <f>(SUM(E26,F26)/(L26+0.1))/100</f>
        <v>19.6</v>
      </c>
      <c r="AB26" s="40">
        <f>(SUM(E26,F26)/(M26+0.1))/100</f>
        <v>19.6</v>
      </c>
      <c r="AC26" s="40">
        <f>(SUM(E26,F26)/(N26+0.1))/100</f>
        <v>19.6</v>
      </c>
    </row>
    <row r="29">
      <c r="B29" s="11" t="s">
        <v>56</v>
      </c>
    </row>
  </sheetData>
  <pageMargins left="0.699999988079071" right="0.699999988079071" top="0.75" bottom="0.75" header="0.30000001192092896" footer="0.30000001192092896"/>
  <pageSetup paperSize="9" orientation="portrait" r:id="rId1"/>
  <legacyDrawing r:id="rId3"/>
</worksheet>
</file>

<file path=xl/worksheets/sheet14.xml><?xml version="1.0" encoding="utf-8"?>
<worksheet xmlns="http://schemas.openxmlformats.org/spreadsheetml/2006/main" xmlns:r="http://schemas.openxmlformats.org/officeDocument/2006/relationships">
  <dimension ref="A1:AC8"/>
  <sheetViews>
    <sheetView zoomScale="70" zoomScaleNormal="70" topLeftCell="L1" workbookViewId="0">
      <selection activeCell="A2" sqref="A2"/>
    </sheetView>
  </sheetViews>
  <sheetFormatPr defaultColWidth="11.421875" defaultRowHeight="15"/>
  <cols>
    <col min="1" max="1" width="5.421875" customWidth="1"/>
    <col min="2" max="2" width="27.57421875" customWidth="1"/>
    <col min="3" max="4" width="32.57421875" customWidth="1"/>
    <col min="5" max="5" width="37.00390625" customWidth="1"/>
    <col min="6" max="6" width="37.28125" customWidth="1"/>
    <col min="7" max="7" width="24.57421875" customWidth="1"/>
    <col min="8" max="8" width="20.140625" customWidth="1"/>
    <col min="9" max="9" width="19.140625" customWidth="1"/>
    <col min="10" max="10" width="17.421875" customWidth="1"/>
    <col min="11" max="11" width="29.421875" customWidth="1"/>
    <col min="12" max="12" width="21.57421875" customWidth="1"/>
    <col min="13" max="13" width="23.28125" customWidth="1"/>
    <col min="14" max="14" width="21.00390625" customWidth="1"/>
    <col min="15" max="15" width="24.28125" customWidth="1"/>
    <col min="16" max="17" width="16.8515625" customWidth="1"/>
    <col min="18" max="18" width="21.00390625" customWidth="1"/>
    <col min="19" max="19" width="27.28125" customWidth="1"/>
    <col min="20" max="23" width="23.57421875" customWidth="1"/>
    <col min="24" max="24" width="22.28125" customWidth="1"/>
    <col min="25" max="28" width="18.57421875" customWidth="1"/>
    <col min="29" max="29" width="15.421875" customWidth="1"/>
  </cols>
  <sheetData>
    <row r="1" ht="60">
      <c r="A1" s="41" t="s">
        <v>0</v>
      </c>
      <c r="B1" s="41" t="s">
        <v>1</v>
      </c>
      <c r="C1" s="41" t="s">
        <v>2</v>
      </c>
      <c r="D1" s="41" t="s">
        <v>3</v>
      </c>
      <c r="E1" s="41" t="s">
        <v>4</v>
      </c>
      <c r="F1" s="41" t="s">
        <v>5</v>
      </c>
      <c r="G1" s="41" t="s">
        <v>6</v>
      </c>
      <c r="H1" s="41" t="s">
        <v>7</v>
      </c>
      <c r="I1" s="41" t="s">
        <v>8</v>
      </c>
      <c r="J1" s="41" t="s">
        <v>9</v>
      </c>
      <c r="K1" s="42" t="s">
        <v>10</v>
      </c>
      <c r="L1" s="42" t="s">
        <v>11</v>
      </c>
      <c r="M1" s="42" t="s">
        <v>12</v>
      </c>
      <c r="N1" s="42" t="s">
        <v>102</v>
      </c>
      <c r="O1" s="43" t="s">
        <v>14</v>
      </c>
      <c r="P1" s="42" t="s">
        <v>15</v>
      </c>
      <c r="Q1" s="42" t="s">
        <v>16</v>
      </c>
      <c r="R1" s="42" t="s">
        <v>17</v>
      </c>
      <c r="S1" s="41" t="s">
        <v>18</v>
      </c>
      <c r="T1" s="41" t="s">
        <v>19</v>
      </c>
      <c r="U1" s="26" t="s">
        <v>20</v>
      </c>
      <c r="V1" s="26" t="s">
        <v>21</v>
      </c>
      <c r="W1" s="26" t="s">
        <v>22</v>
      </c>
      <c r="X1" s="26" t="s">
        <v>24</v>
      </c>
      <c r="Y1" s="41" t="s">
        <v>23</v>
      </c>
      <c r="Z1" s="26" t="s">
        <v>25</v>
      </c>
      <c r="AA1" s="26" t="s">
        <v>26</v>
      </c>
      <c r="AB1" s="26" t="s">
        <v>27</v>
      </c>
      <c r="AC1" s="3" t="s">
        <v>165</v>
      </c>
    </row>
    <row r="2">
      <c r="A2" s="34">
        <f>'Apartamento 4.1 (TripAdvisor)'!A26+1</f>
        <v>138</v>
      </c>
      <c r="B2" s="34" t="s">
        <v>186</v>
      </c>
      <c r="C2" s="35" t="s">
        <v>212</v>
      </c>
      <c r="D2" s="35" t="s">
        <v>131</v>
      </c>
      <c r="E2" s="12">
        <v>112</v>
      </c>
      <c r="F2" s="39">
        <v>15</v>
      </c>
      <c r="G2" s="12">
        <v>4.6</v>
      </c>
      <c r="H2" s="39">
        <v>4.5</v>
      </c>
      <c r="I2" s="12">
        <f>((G2*E2)+(H2*F2))/SUM(E2,F2)</f>
        <v>4.588188976377952</v>
      </c>
      <c r="J2" s="40">
        <v>43</v>
      </c>
      <c r="K2" s="40">
        <v>0</v>
      </c>
      <c r="L2" s="40">
        <v>0</v>
      </c>
      <c r="M2" s="40">
        <v>0</v>
      </c>
      <c r="N2" s="40">
        <f>(K2*0.5)+(L2*0.4)+(M2*0.1)</f>
        <v>0</v>
      </c>
      <c r="O2" s="40">
        <v>920</v>
      </c>
      <c r="P2" s="40">
        <f>ABS(G2-H2)</f>
        <v>0.09999999999999964</v>
      </c>
      <c r="Q2" s="40">
        <f>ABS(G2-I2)</f>
        <v>0.011811023622047223</v>
      </c>
      <c r="R2" s="40">
        <f>ABS(H2-I2)</f>
        <v>0.08818897637795242</v>
      </c>
      <c r="S2" s="37">
        <f>SUM(E2,F2)/O2</f>
        <v>0.13804347826086957</v>
      </c>
      <c r="T2" s="37">
        <f>LOG10(E2+F2)*I2</f>
        <v>9.652649040953039</v>
      </c>
      <c r="U2" s="37">
        <f>(K2/O2)*100</f>
        <v>0</v>
      </c>
      <c r="V2" s="37">
        <f>(L2/O2)*100</f>
        <v>0</v>
      </c>
      <c r="W2" s="37">
        <f>(M2/O2)*100</f>
        <v>0</v>
      </c>
      <c r="X2" s="40">
        <f>(N2/O2)*100</f>
        <v>0</v>
      </c>
      <c r="Y2" s="40">
        <f>E2/F2</f>
        <v>7.466666666666667</v>
      </c>
      <c r="Z2" s="40">
        <f>(SUM(E2,F2)/(K2+0.1))/100</f>
        <v>12.7</v>
      </c>
      <c r="AA2" s="40">
        <f>(SUM(E2,F2)/(L2+0.1))/100</f>
        <v>12.7</v>
      </c>
      <c r="AB2" s="40">
        <f>(SUM(E2,F2)/(M2+0.1))/100</f>
        <v>12.7</v>
      </c>
      <c r="AC2" s="40">
        <f>(SUM(E2,F2)/(N2+0.1))/100</f>
        <v>12.7</v>
      </c>
    </row>
    <row r="3">
      <c r="A3" s="34">
        <f>A2+1</f>
        <v>139</v>
      </c>
      <c r="B3" s="34" t="s">
        <v>186</v>
      </c>
      <c r="C3" s="35" t="s">
        <v>213</v>
      </c>
      <c r="D3" s="35" t="s">
        <v>131</v>
      </c>
      <c r="E3" s="40">
        <v>68</v>
      </c>
      <c r="F3" s="39">
        <v>3</v>
      </c>
      <c r="G3" s="40">
        <v>4.6</v>
      </c>
      <c r="H3" s="39">
        <v>5</v>
      </c>
      <c r="I3" s="12">
        <f>((G3*E3)+(H3*F3))/SUM(E3,F3)</f>
        <v>4.616901408450704</v>
      </c>
      <c r="J3" s="40">
        <v>85</v>
      </c>
      <c r="K3" s="40">
        <v>0</v>
      </c>
      <c r="L3" s="40">
        <v>0</v>
      </c>
      <c r="M3" s="40">
        <v>0</v>
      </c>
      <c r="N3" s="40">
        <f>(K3*0.5)+(L3*0.4)+(M3*0.1)</f>
        <v>0</v>
      </c>
      <c r="O3" s="40">
        <v>965</v>
      </c>
      <c r="P3" s="40">
        <f>ABS(G3-H3)</f>
        <v>0.40000000000000036</v>
      </c>
      <c r="Q3" s="40">
        <f>ABS(G3-I3)</f>
        <v>0.016901408450704203</v>
      </c>
      <c r="R3" s="40">
        <f>ABS(H3-I3)</f>
        <v>0.38309859154929615</v>
      </c>
      <c r="S3" s="37">
        <f>SUM(E3,F3)/O3</f>
        <v>0.07357512953367876</v>
      </c>
      <c r="T3" s="37">
        <f>LOG10(E3+F3)*I3</f>
        <v>8.547077277607222</v>
      </c>
      <c r="U3" s="37">
        <f>(K3/O3)*100</f>
        <v>0</v>
      </c>
      <c r="V3" s="37">
        <f>(L3/O3)*100</f>
        <v>0</v>
      </c>
      <c r="W3" s="37">
        <f>(M3/O3)*100</f>
        <v>0</v>
      </c>
      <c r="X3" s="40">
        <f>(N3/O3)*100</f>
        <v>0</v>
      </c>
      <c r="Y3" s="37">
        <f>E3/F3</f>
        <v>22.666666666666668</v>
      </c>
      <c r="Z3" s="40">
        <f>(SUM(E3,F3)/(K3+0.1))/100</f>
        <v>7.1</v>
      </c>
      <c r="AA3" s="40">
        <f>(SUM(E3,F3)/(L3+0.1))/100</f>
        <v>7.1</v>
      </c>
      <c r="AB3" s="40">
        <f>(SUM(E3,F3)/(M3+0.1))/100</f>
        <v>7.1</v>
      </c>
      <c r="AC3" s="40">
        <f>(SUM(E3,F3)/(N3+0.1))/100</f>
        <v>7.1</v>
      </c>
    </row>
    <row r="4">
      <c r="A4" s="34">
        <f>A3+1</f>
        <v>140</v>
      </c>
      <c r="B4" s="34" t="s">
        <v>186</v>
      </c>
      <c r="C4" s="36" t="s">
        <v>214</v>
      </c>
      <c r="D4" s="35" t="s">
        <v>131</v>
      </c>
      <c r="E4" s="40">
        <v>631</v>
      </c>
      <c r="F4" s="40">
        <v>65</v>
      </c>
      <c r="G4" s="40">
        <v>3.7</v>
      </c>
      <c r="H4" s="40">
        <v>2.6</v>
      </c>
      <c r="I4" s="12">
        <f>((G4*E4)+(H4*F4))/SUM(E4,F4)</f>
        <v>3.5972701149425292</v>
      </c>
      <c r="J4" s="40" t="s">
        <v>61</v>
      </c>
      <c r="K4" s="40">
        <v>0</v>
      </c>
      <c r="L4" s="40">
        <v>25</v>
      </c>
      <c r="M4" s="40">
        <v>25</v>
      </c>
      <c r="N4" s="40">
        <f>(K4*0.5)+(L4*0.4)+(M4*0.1)</f>
        <v>12.5</v>
      </c>
      <c r="O4" s="40">
        <v>5780</v>
      </c>
      <c r="P4" s="40">
        <f>ABS(G4-H4)</f>
        <v>1.1</v>
      </c>
      <c r="Q4" s="40">
        <f>ABS(G4-I4)</f>
        <v>0.10272988505747094</v>
      </c>
      <c r="R4" s="40">
        <f>ABS(H4-I4)</f>
        <v>0.9972701149425292</v>
      </c>
      <c r="S4" s="37">
        <f>SUM(E4,F4)/O4</f>
        <v>0.12041522491349481</v>
      </c>
      <c r="T4" s="37">
        <f>LOG10(E4+F4)*I4</f>
        <v>10.225633266110583</v>
      </c>
      <c r="U4" s="37">
        <f>(K4/O4)*100</f>
        <v>0</v>
      </c>
      <c r="V4" s="37">
        <f>(L4/O4)*100</f>
        <v>0.43252595155709345</v>
      </c>
      <c r="W4" s="37">
        <f>(M4/O4)*100</f>
        <v>0.43252595155709345</v>
      </c>
      <c r="X4" s="40">
        <f>(N4/O4)*100</f>
        <v>0.21626297577854672</v>
      </c>
      <c r="Y4" s="37">
        <f>E4/F4</f>
        <v>9.707692307692307</v>
      </c>
      <c r="Z4" s="40">
        <f>(SUM(E4,F4)/(K4+0.1))/100</f>
        <v>69.6</v>
      </c>
      <c r="AA4" s="40">
        <f>(SUM(E4,F4)/(L4+0.1))/100</f>
        <v>0.27729083665338644</v>
      </c>
      <c r="AB4" s="40">
        <f>(SUM(E4,F4)/(M4+0.1))/100</f>
        <v>0.27729083665338644</v>
      </c>
      <c r="AC4" s="40">
        <f>(SUM(E4,F4)/(N4+0.1))/100</f>
        <v>0.5523809523809524</v>
      </c>
    </row>
    <row r="5">
      <c r="A5" s="34">
        <f>A4+1</f>
        <v>141</v>
      </c>
      <c r="B5" s="34" t="s">
        <v>186</v>
      </c>
      <c r="C5" s="35" t="s">
        <v>215</v>
      </c>
      <c r="D5" s="35" t="s">
        <v>131</v>
      </c>
      <c r="E5" s="40">
        <v>175</v>
      </c>
      <c r="F5" s="40">
        <v>2</v>
      </c>
      <c r="G5" s="40">
        <v>4.7</v>
      </c>
      <c r="H5" s="40">
        <v>3.5</v>
      </c>
      <c r="I5" s="12">
        <f>((G5*E5)+(H5*F5))/SUM(E5,F5)</f>
        <v>4.686440677966102</v>
      </c>
      <c r="J5" s="40" t="s">
        <v>61</v>
      </c>
      <c r="K5" s="40">
        <v>0</v>
      </c>
      <c r="L5" s="40">
        <v>0</v>
      </c>
      <c r="M5" s="40">
        <v>0</v>
      </c>
      <c r="N5" s="40">
        <f>(K5*0.5)+(L5*0.4)+(M5*0.1)</f>
        <v>0</v>
      </c>
      <c r="O5" s="40">
        <v>887</v>
      </c>
      <c r="P5" s="40">
        <f>ABS(G5-H5)</f>
        <v>1.2000000000000002</v>
      </c>
      <c r="Q5" s="40">
        <f>ABS(G5-I5)</f>
        <v>0.013559322033898091</v>
      </c>
      <c r="R5" s="40">
        <f>ABS(H5-I5)</f>
        <v>1.186440677966102</v>
      </c>
      <c r="S5" s="37">
        <f>SUM(E5,F5)/O5</f>
        <v>0.1995490417136415</v>
      </c>
      <c r="T5" s="37">
        <f>LOG10(E5+F5)*I5</f>
        <v>10.5349933584583</v>
      </c>
      <c r="U5" s="37">
        <f>(K5/O5)*100</f>
        <v>0</v>
      </c>
      <c r="V5" s="37">
        <f>(L5/O5)*100</f>
        <v>0</v>
      </c>
      <c r="W5" s="37">
        <f>(M5/O5)*100</f>
        <v>0</v>
      </c>
      <c r="X5" s="40">
        <f>(N5/O5)*100</f>
        <v>0</v>
      </c>
      <c r="Y5" s="37">
        <f>E5/F5</f>
        <v>87.5</v>
      </c>
      <c r="Z5" s="40">
        <f>(SUM(E5,F5)/(K5+0.1))/100</f>
        <v>17.7</v>
      </c>
      <c r="AA5" s="40">
        <f>(SUM(E5,F5)/(L5+0.1))/100</f>
        <v>17.7</v>
      </c>
      <c r="AB5" s="40">
        <f>(SUM(E5,F5)/(M5+0.1))/100</f>
        <v>17.7</v>
      </c>
      <c r="AC5" s="40">
        <f>(SUM(E5,F5)/(N5+0.1))/100</f>
        <v>17.7</v>
      </c>
    </row>
    <row r="6">
      <c r="A6" s="34">
        <f>A5+1</f>
        <v>142</v>
      </c>
      <c r="B6" s="34" t="s">
        <v>186</v>
      </c>
      <c r="C6" s="35" t="s">
        <v>216</v>
      </c>
      <c r="D6" s="35" t="s">
        <v>131</v>
      </c>
      <c r="E6" s="40">
        <v>156</v>
      </c>
      <c r="F6" s="40">
        <v>207</v>
      </c>
      <c r="G6" s="40">
        <v>4.3</v>
      </c>
      <c r="H6" s="40">
        <v>4.3</v>
      </c>
      <c r="I6" s="12">
        <f>((G6*E6)+(H6*F6))/SUM(E6,F6)</f>
        <v>4.3</v>
      </c>
      <c r="J6" s="40">
        <v>27</v>
      </c>
      <c r="K6" s="40">
        <v>0</v>
      </c>
      <c r="L6" s="40">
        <v>0</v>
      </c>
      <c r="M6" s="40">
        <v>0</v>
      </c>
      <c r="N6" s="40">
        <f>(K6*0.5)+(L6*0.4)+(M6*0.1)</f>
        <v>0</v>
      </c>
      <c r="O6" s="40">
        <v>989</v>
      </c>
      <c r="P6" s="40">
        <f>ABS(G6-H6)</f>
        <v>0</v>
      </c>
      <c r="Q6" s="40">
        <f>ABS(G6-I6)</f>
        <v>0</v>
      </c>
      <c r="R6" s="40">
        <f>ABS(H6-I6)</f>
        <v>0</v>
      </c>
      <c r="S6" s="37">
        <f>SUM(E6,F6)/O6</f>
        <v>0.36703741152679475</v>
      </c>
      <c r="T6" s="37">
        <f>LOG10(E6+F6)*I6</f>
        <v>11.007598487655283</v>
      </c>
      <c r="U6" s="37">
        <f>(K6/O6)*100</f>
        <v>0</v>
      </c>
      <c r="V6" s="37">
        <f>(L6/O6)*100</f>
        <v>0</v>
      </c>
      <c r="W6" s="37">
        <f>(M6/O6)*100</f>
        <v>0</v>
      </c>
      <c r="X6" s="40">
        <f>(N6/O6)*100</f>
        <v>0</v>
      </c>
      <c r="Y6" s="37">
        <f>E6/F6</f>
        <v>0.7536231884057971</v>
      </c>
      <c r="Z6" s="40">
        <f>(SUM(E6,F6)/(K6+0.1))/100</f>
        <v>36.3</v>
      </c>
      <c r="AA6" s="40">
        <f>(SUM(E6,F6)/(L6+0.1))/100</f>
        <v>36.3</v>
      </c>
      <c r="AB6" s="40">
        <f>(SUM(E6,F6)/(M6+0.1))/100</f>
        <v>36.3</v>
      </c>
      <c r="AC6" s="40">
        <f>(SUM(E6,F6)/(N6+0.1))/100</f>
        <v>36.3</v>
      </c>
    </row>
    <row r="8">
      <c r="B8" s="11" t="s">
        <v>56</v>
      </c>
    </row>
  </sheetData>
  <pageMargins left="0.699999988079071" right="0.699999988079071" top="0.75" bottom="0.75" header="0.30000001192092896" footer="0.30000001192092896"/>
  <pageSetup paperSize="9" orientation="portrait" r:id="rId1"/>
  <legacyDrawing r:id="rId3"/>
</worksheet>
</file>

<file path=xl/worksheets/sheet15.xml><?xml version="1.0" encoding="utf-8"?>
<worksheet xmlns="http://schemas.openxmlformats.org/spreadsheetml/2006/main" xmlns:r="http://schemas.openxmlformats.org/officeDocument/2006/relationships">
  <dimension ref="A1:AD31"/>
  <sheetViews>
    <sheetView zoomScale="70" zoomScaleNormal="70" topLeftCell="F1" workbookViewId="0">
      <selection activeCell="AH7" sqref="AH7"/>
    </sheetView>
  </sheetViews>
  <sheetFormatPr defaultColWidth="11.421875" defaultRowHeight="15"/>
  <sheetData>
    <row r="1" ht="120">
      <c r="A1" s="26" t="s">
        <v>0</v>
      </c>
      <c r="B1" s="26" t="s">
        <v>1</v>
      </c>
      <c r="C1" s="26" t="s">
        <v>2</v>
      </c>
      <c r="D1" s="26" t="s">
        <v>3</v>
      </c>
      <c r="E1" s="26" t="s">
        <v>4</v>
      </c>
      <c r="F1" s="26" t="s">
        <v>5</v>
      </c>
      <c r="G1" s="26" t="s">
        <v>6</v>
      </c>
      <c r="H1" s="26" t="s">
        <v>7</v>
      </c>
      <c r="I1" s="26" t="s">
        <v>8</v>
      </c>
      <c r="J1" s="27" t="s">
        <v>71</v>
      </c>
      <c r="K1" s="27" t="s">
        <v>9</v>
      </c>
      <c r="L1" s="27" t="s">
        <v>10</v>
      </c>
      <c r="M1" s="27" t="s">
        <v>11</v>
      </c>
      <c r="N1" s="27" t="s">
        <v>12</v>
      </c>
      <c r="O1" s="27" t="s">
        <v>13</v>
      </c>
      <c r="P1" s="27" t="s">
        <v>14</v>
      </c>
      <c r="Q1" s="27" t="s">
        <v>15</v>
      </c>
      <c r="R1" s="26" t="s">
        <v>16</v>
      </c>
      <c r="S1" s="26" t="s">
        <v>17</v>
      </c>
      <c r="T1" s="26" t="s">
        <v>18</v>
      </c>
      <c r="U1" s="26" t="s">
        <v>19</v>
      </c>
      <c r="V1" s="26" t="s">
        <v>20</v>
      </c>
      <c r="W1" s="26" t="s">
        <v>21</v>
      </c>
      <c r="X1" s="26" t="s">
        <v>22</v>
      </c>
      <c r="Y1" s="26" t="s">
        <v>24</v>
      </c>
      <c r="Z1" s="26" t="s">
        <v>23</v>
      </c>
      <c r="AA1" s="26" t="s">
        <v>25</v>
      </c>
      <c r="AB1" s="30" t="s">
        <v>26</v>
      </c>
      <c r="AC1" s="26" t="s">
        <v>27</v>
      </c>
      <c r="AD1" s="30" t="s">
        <v>28</v>
      </c>
    </row>
    <row r="2" ht="44.25">
      <c r="A2" s="34">
        <f>'Hotel 3.2 (Publicidad)'!A21+1</f>
        <v>113</v>
      </c>
      <c r="B2" s="34" t="s">
        <v>186</v>
      </c>
      <c r="C2" s="35" t="s">
        <v>187</v>
      </c>
      <c r="D2" s="35" t="s">
        <v>105</v>
      </c>
      <c r="E2" s="12">
        <v>155</v>
      </c>
      <c r="F2" s="39">
        <v>677</v>
      </c>
      <c r="G2" s="12">
        <v>4.9</v>
      </c>
      <c r="H2" s="39">
        <v>5</v>
      </c>
      <c r="I2" s="12">
        <f>((G2*E2)+(H2*F2))/SUM(E2,F2)</f>
        <v>4.9813701923076925</v>
      </c>
      <c r="J2" s="12">
        <v>1</v>
      </c>
      <c r="K2" s="39">
        <v>1</v>
      </c>
      <c r="L2" s="39">
        <v>0</v>
      </c>
      <c r="M2" s="39">
        <v>0</v>
      </c>
      <c r="N2" s="39">
        <v>0</v>
      </c>
      <c r="O2" s="12">
        <f>(L2*0.5)+(M2*0.4)+(N2*0.1)</f>
        <v>0</v>
      </c>
      <c r="P2" s="12">
        <v>509</v>
      </c>
      <c r="Q2" s="40">
        <f>ABS(G2-H2)</f>
        <v>0.09999999999999964</v>
      </c>
      <c r="R2" s="40">
        <f>ABS(H2-I2)</f>
        <v>0.018629807692307487</v>
      </c>
      <c r="S2" s="40">
        <f>ABS(H2-I2)</f>
        <v>0.018629807692307487</v>
      </c>
      <c r="T2" s="37">
        <f>SUM(E2,F2)/P2</f>
        <v>1.6345776031434185</v>
      </c>
      <c r="U2" s="37">
        <f>LOG10(E2+F2)*I2</f>
        <v>14.546215295447002</v>
      </c>
      <c r="V2" s="37">
        <f>(L2/P2)*100</f>
        <v>0</v>
      </c>
      <c r="W2" s="37">
        <f>(M2/P2)*100</f>
        <v>0</v>
      </c>
      <c r="X2" s="37">
        <f>(N2/P2)*100</f>
        <v>0</v>
      </c>
      <c r="Y2" s="37">
        <f>(O2/P2)*100</f>
        <v>0</v>
      </c>
      <c r="Z2" s="37">
        <f>E2/F2</f>
        <v>0.22895125553914328</v>
      </c>
      <c r="AA2" s="40">
        <f>(SUM(E2,F2)/(L2+0.1))/100</f>
        <v>83.2</v>
      </c>
      <c r="AB2" s="40">
        <f>(SUM(E2,F2)/(M2+0.1))/100</f>
        <v>83.2</v>
      </c>
      <c r="AC2" s="40">
        <f>(SUM(E2,F2)/(N2+0.1))/100</f>
        <v>83.2</v>
      </c>
      <c r="AD2" s="40">
        <f>(SUM(E2,F2)/(O2+0.1))/100</f>
        <v>83.2</v>
      </c>
    </row>
    <row r="3" ht="71.25">
      <c r="A3" s="38">
        <f>A2+1</f>
        <v>114</v>
      </c>
      <c r="B3" s="34" t="s">
        <v>186</v>
      </c>
      <c r="C3" s="35" t="s">
        <v>188</v>
      </c>
      <c r="D3" s="35" t="s">
        <v>105</v>
      </c>
      <c r="E3" s="13">
        <v>77</v>
      </c>
      <c r="F3" s="39">
        <v>106</v>
      </c>
      <c r="G3" s="13">
        <v>4.8</v>
      </c>
      <c r="H3" s="39">
        <v>4.9</v>
      </c>
      <c r="I3" s="12">
        <f>((G3*E3)+(H3*F3))/SUM(E3,F3)</f>
        <v>4.85792349726776</v>
      </c>
      <c r="J3" s="12">
        <v>1</v>
      </c>
      <c r="K3" s="39">
        <v>2</v>
      </c>
      <c r="L3" s="39">
        <v>0</v>
      </c>
      <c r="M3" s="39">
        <v>0</v>
      </c>
      <c r="N3" s="39">
        <v>0</v>
      </c>
      <c r="O3" s="12">
        <f>(L3*0.5)+(M3*0.4)+(N3*0.1)</f>
        <v>0</v>
      </c>
      <c r="P3" s="13">
        <v>500</v>
      </c>
      <c r="Q3" s="40">
        <f>ABS(G3-H3)</f>
        <v>0.10000000000000053</v>
      </c>
      <c r="R3" s="40">
        <f>ABS(G3-I3)</f>
        <v>0.05792349726776003</v>
      </c>
      <c r="S3" s="40">
        <f>ABS(H3-I3)</f>
        <v>0.042076502732240506</v>
      </c>
      <c r="T3" s="37">
        <f>SUM(E3,F3)/P3</f>
        <v>0.366</v>
      </c>
      <c r="U3" s="37">
        <f>LOG10(E3+F3)*I3</f>
        <v>10.990814310220502</v>
      </c>
      <c r="V3" s="37">
        <f>(L3/P3)*100</f>
        <v>0</v>
      </c>
      <c r="W3" s="37">
        <f>(M3/P3)*100</f>
        <v>0</v>
      </c>
      <c r="X3" s="37">
        <f>(N3/P3)*100</f>
        <v>0</v>
      </c>
      <c r="Y3" s="37">
        <f>(O3/P3)*100</f>
        <v>0</v>
      </c>
      <c r="Z3" s="37">
        <f>E3/F3</f>
        <v>0.7264150943396226</v>
      </c>
      <c r="AA3" s="40">
        <f>(SUM(E3,F3)/(L3+0.1))/100</f>
        <v>18.3</v>
      </c>
      <c r="AB3" s="40">
        <f>(SUM(E3,F3)/(M3+0.1))/100</f>
        <v>18.3</v>
      </c>
      <c r="AC3" s="40">
        <f>(SUM(E3,F3)/(N3+0.1))/100</f>
        <v>18.3</v>
      </c>
      <c r="AD3" s="40">
        <f>(SUM(E3,F3)/(O3+0.1))/100</f>
        <v>18.3</v>
      </c>
    </row>
    <row r="4" ht="57">
      <c r="A4" s="34">
        <f>A3+1</f>
        <v>115</v>
      </c>
      <c r="B4" s="34" t="s">
        <v>186</v>
      </c>
      <c r="C4" s="35" t="s">
        <v>189</v>
      </c>
      <c r="D4" s="35" t="s">
        <v>105</v>
      </c>
      <c r="E4" s="12">
        <v>22</v>
      </c>
      <c r="F4" s="39">
        <v>142</v>
      </c>
      <c r="G4" s="12">
        <v>4.9</v>
      </c>
      <c r="H4" s="39">
        <v>4.9</v>
      </c>
      <c r="I4" s="12">
        <f>((G4*E4)+(H4*F4))/SUM(E4,F4)</f>
        <v>4.900000000000001</v>
      </c>
      <c r="J4" s="12">
        <v>1</v>
      </c>
      <c r="K4" s="39">
        <v>3</v>
      </c>
      <c r="L4" s="39">
        <v>0</v>
      </c>
      <c r="M4" s="39">
        <v>0</v>
      </c>
      <c r="N4" s="39">
        <v>0</v>
      </c>
      <c r="O4" s="12">
        <f>(L4*0.5)+(M4*0.4)+(N4*0.1)</f>
        <v>0</v>
      </c>
      <c r="P4" s="12">
        <v>535</v>
      </c>
      <c r="Q4" s="40">
        <f>ABS(G4-H4)</f>
        <v>0</v>
      </c>
      <c r="R4" s="40">
        <f>ABS(G4-I4)</f>
        <v>8.881784197001252E-16</v>
      </c>
      <c r="S4" s="40">
        <f>ABS(H4-I4)</f>
        <v>8.881784197001252E-16</v>
      </c>
      <c r="T4" s="37">
        <f>SUM(E4,F4)/P4</f>
        <v>0.30654205607476637</v>
      </c>
      <c r="U4" s="37">
        <f>LOG10(E4+F4)*I4</f>
        <v>10.852734855433722</v>
      </c>
      <c r="V4" s="37">
        <f>(L4/P4)*100</f>
        <v>0</v>
      </c>
      <c r="W4" s="37">
        <f>(M4/P4)*100</f>
        <v>0</v>
      </c>
      <c r="X4" s="37">
        <f>(N4/P4)*100</f>
        <v>0</v>
      </c>
      <c r="Y4" s="37">
        <f>(O4/P4)*100</f>
        <v>0</v>
      </c>
      <c r="Z4" s="37">
        <f>E4/F4</f>
        <v>0.15492957746478872</v>
      </c>
      <c r="AA4" s="40">
        <f>(SUM(E4,F4)/(L4+0.1))/100</f>
        <v>16.4</v>
      </c>
      <c r="AB4" s="40">
        <f>(SUM(E4,F4)/(M4+0.1))/100</f>
        <v>16.4</v>
      </c>
      <c r="AC4" s="40">
        <f>(SUM(E4,F4)/(N4+0.1))/100</f>
        <v>16.4</v>
      </c>
      <c r="AD4" s="40">
        <f>(SUM(E4,F4)/(O4+0.1))/100</f>
        <v>16.4</v>
      </c>
    </row>
    <row r="5" ht="44.25">
      <c r="A5" s="34">
        <f>A4+1</f>
        <v>116</v>
      </c>
      <c r="B5" s="34" t="s">
        <v>186</v>
      </c>
      <c r="C5" s="35" t="s">
        <v>190</v>
      </c>
      <c r="D5" s="35" t="s">
        <v>105</v>
      </c>
      <c r="E5" s="12">
        <v>81</v>
      </c>
      <c r="F5" s="39">
        <v>312</v>
      </c>
      <c r="G5" s="12">
        <v>4.6</v>
      </c>
      <c r="H5" s="39">
        <v>4.8</v>
      </c>
      <c r="I5" s="12">
        <f>((G5*E5)+(H5*F5))/SUM(E5,F5)</f>
        <v>4.758778625954198</v>
      </c>
      <c r="J5" s="12">
        <v>1</v>
      </c>
      <c r="K5" s="39">
        <v>4</v>
      </c>
      <c r="L5" s="39">
        <v>0</v>
      </c>
      <c r="M5" s="39">
        <v>0</v>
      </c>
      <c r="N5" s="39">
        <v>0</v>
      </c>
      <c r="O5" s="12">
        <f>(L5*0.5)+(M5*0.4)+(N5*0.1)</f>
        <v>0</v>
      </c>
      <c r="P5" s="12">
        <v>212</v>
      </c>
      <c r="Q5" s="40">
        <f>ABS(G5-H5)</f>
        <v>0.20000000000000018</v>
      </c>
      <c r="R5" s="40">
        <f>ABS(G5-I5)</f>
        <v>0.15877862595419856</v>
      </c>
      <c r="S5" s="40">
        <f>ABS(H5-I5)</f>
        <v>0.04122137404580162</v>
      </c>
      <c r="T5" s="37">
        <f>SUM(E5,F5)/P5</f>
        <v>1.8537735849056605</v>
      </c>
      <c r="U5" s="37">
        <f>LOG10(E5+F5)*I5</f>
        <v>12.346139816061381</v>
      </c>
      <c r="V5" s="37">
        <f>(L5/P5)*100</f>
        <v>0</v>
      </c>
      <c r="W5" s="37">
        <f>(M5/P5)*100</f>
        <v>0</v>
      </c>
      <c r="X5" s="37">
        <f>(N5/P5)*100</f>
        <v>0</v>
      </c>
      <c r="Y5" s="37">
        <f>(O5/P5)*100</f>
        <v>0</v>
      </c>
      <c r="Z5" s="37">
        <f>E5/F5</f>
        <v>0.25961538461538464</v>
      </c>
      <c r="AA5" s="40">
        <f>(SUM(E5,F5)/(L5+0.1))/100</f>
        <v>39.3</v>
      </c>
      <c r="AB5" s="40">
        <f>(SUM(E5,F5)/(M5+0.1))/100</f>
        <v>39.3</v>
      </c>
      <c r="AC5" s="40">
        <f>(SUM(E5,F5)/(N5+0.1))/100</f>
        <v>39.3</v>
      </c>
      <c r="AD5" s="40">
        <f>(SUM(E5,F5)/(O5+0.1))/100</f>
        <v>39.3</v>
      </c>
    </row>
    <row r="6" ht="57">
      <c r="A6" s="34">
        <f>A5+1</f>
        <v>117</v>
      </c>
      <c r="B6" s="34" t="s">
        <v>186</v>
      </c>
      <c r="C6" s="35" t="s">
        <v>191</v>
      </c>
      <c r="D6" s="35" t="s">
        <v>105</v>
      </c>
      <c r="E6" s="12">
        <v>30</v>
      </c>
      <c r="F6" s="39">
        <v>469</v>
      </c>
      <c r="G6" s="12">
        <v>4.7</v>
      </c>
      <c r="H6" s="39">
        <v>4.6</v>
      </c>
      <c r="I6" s="12">
        <f>((G6*E6)+(H6*F6))/SUM(E6,F6)</f>
        <v>4.606012024048096</v>
      </c>
      <c r="J6" s="12">
        <v>1</v>
      </c>
      <c r="K6" s="39">
        <v>5</v>
      </c>
      <c r="L6" s="39">
        <v>0</v>
      </c>
      <c r="M6" s="39">
        <v>0</v>
      </c>
      <c r="N6" s="39">
        <v>0</v>
      </c>
      <c r="O6" s="12">
        <f>(L6*0.5)+(M6*0.4)+(N6*0.1)</f>
        <v>0</v>
      </c>
      <c r="P6" s="12">
        <v>97</v>
      </c>
      <c r="Q6" s="40">
        <f>ABS(G6-H6)</f>
        <v>0.10000000000000053</v>
      </c>
      <c r="R6" s="40">
        <f>ABS(G6-I6)</f>
        <v>0.09398797595190445</v>
      </c>
      <c r="S6" s="40">
        <f>ABS(H6-I6)</f>
        <v>0.006012024048096087</v>
      </c>
      <c r="T6" s="37">
        <f>SUM(E6,F6)/P6</f>
        <v>5.144329896907217</v>
      </c>
      <c r="U6" s="37">
        <f>LOG10(E6+F6)*I6</f>
        <v>12.427483555232062</v>
      </c>
      <c r="V6" s="37">
        <f>(L6/P6)*100</f>
        <v>0</v>
      </c>
      <c r="W6" s="37">
        <f>(M6/P6)*100</f>
        <v>0</v>
      </c>
      <c r="X6" s="37">
        <f>(N6/P6)*100</f>
        <v>0</v>
      </c>
      <c r="Y6" s="37">
        <f>(O6/P6)*100</f>
        <v>0</v>
      </c>
      <c r="Z6" s="37">
        <f>E6/F6</f>
        <v>0.06396588486140725</v>
      </c>
      <c r="AA6" s="40">
        <f>(SUM(E6,F6)/(L6+0.1))/100</f>
        <v>49.9</v>
      </c>
      <c r="AB6" s="40">
        <f>(SUM(E6,F6)/(M6+0.1))/100</f>
        <v>49.9</v>
      </c>
      <c r="AC6" s="40">
        <f>(SUM(E6,F6)/(N6+0.1))/100</f>
        <v>49.9</v>
      </c>
      <c r="AD6" s="40">
        <f>(SUM(E6,F6)/(O6+0.1))/100</f>
        <v>49.9</v>
      </c>
    </row>
    <row r="7" ht="71.25">
      <c r="A7" s="34">
        <f>A6+1</f>
        <v>118</v>
      </c>
      <c r="B7" s="34" t="s">
        <v>186</v>
      </c>
      <c r="C7" s="35" t="s">
        <v>192</v>
      </c>
      <c r="D7" s="35" t="s">
        <v>105</v>
      </c>
      <c r="E7" s="12">
        <v>188</v>
      </c>
      <c r="F7" s="39">
        <v>249</v>
      </c>
      <c r="G7" s="12">
        <v>4.7</v>
      </c>
      <c r="H7" s="39">
        <v>4.8</v>
      </c>
      <c r="I7" s="12">
        <f>((G7*E7)+(H7*F7))/SUM(E7,F7)</f>
        <v>4.7569794050343255</v>
      </c>
      <c r="J7" s="12">
        <v>1</v>
      </c>
      <c r="K7" s="12">
        <v>6</v>
      </c>
      <c r="L7" s="39">
        <v>0</v>
      </c>
      <c r="M7" s="39">
        <v>0</v>
      </c>
      <c r="N7" s="39">
        <v>0</v>
      </c>
      <c r="O7" s="12">
        <f>(L7*0.5)+(M7*0.4)+(N7*0.1)</f>
        <v>0</v>
      </c>
      <c r="P7" s="12">
        <v>374</v>
      </c>
      <c r="Q7" s="37">
        <f>ABS(G7-H7)</f>
        <v>0.09999999999999964</v>
      </c>
      <c r="R7" s="37">
        <f>ABS(G7-I7)</f>
        <v>0.0569794050343253</v>
      </c>
      <c r="S7" s="40">
        <f>ABS(H7-I7)</f>
        <v>0.04302059496567434</v>
      </c>
      <c r="T7" s="37">
        <f>SUM(E7,F7)/P7</f>
        <v>1.1684491978609626</v>
      </c>
      <c r="U7" s="37">
        <f>LOG10(E7+F7)*I7</f>
        <v>12.56071581504374</v>
      </c>
      <c r="V7" s="37">
        <f>(L7/P7)*100</f>
        <v>0</v>
      </c>
      <c r="W7" s="37">
        <f>(M7/P7)*100</f>
        <v>0</v>
      </c>
      <c r="X7" s="37">
        <f>(N7/P7)*100</f>
        <v>0</v>
      </c>
      <c r="Y7" s="37">
        <f>(O7/P7)*100</f>
        <v>0</v>
      </c>
      <c r="Z7" s="37">
        <f>E7/F7</f>
        <v>0.7550200803212851</v>
      </c>
      <c r="AA7" s="40">
        <f>(SUM(E7,F7)/(L7+0.1))/100</f>
        <v>43.7</v>
      </c>
      <c r="AB7" s="40">
        <f>(SUM(E7,F7)/(M7+0.1))/100</f>
        <v>43.7</v>
      </c>
      <c r="AC7" s="40">
        <f>(SUM(E7,F7)/(N7+0.1))/100</f>
        <v>43.7</v>
      </c>
      <c r="AD7" s="37">
        <f>(SUM(E7,F7)/(O7+0.1))/100</f>
        <v>43.7</v>
      </c>
    </row>
    <row r="8" ht="44.25">
      <c r="A8" s="34">
        <f>A7+1</f>
        <v>119</v>
      </c>
      <c r="B8" s="34" t="s">
        <v>186</v>
      </c>
      <c r="C8" s="35" t="s">
        <v>193</v>
      </c>
      <c r="D8" s="35" t="s">
        <v>105</v>
      </c>
      <c r="E8" s="12">
        <v>179</v>
      </c>
      <c r="F8" s="39">
        <v>569</v>
      </c>
      <c r="G8" s="12">
        <v>4.6</v>
      </c>
      <c r="H8" s="39">
        <v>4.7</v>
      </c>
      <c r="I8" s="12">
        <f>((G8*E8)+(H8*F8))/SUM(E8,F8)</f>
        <v>4.676069518716578</v>
      </c>
      <c r="J8" s="12">
        <v>1</v>
      </c>
      <c r="K8" s="39">
        <v>7</v>
      </c>
      <c r="L8" s="39">
        <v>0</v>
      </c>
      <c r="M8" s="39">
        <v>0</v>
      </c>
      <c r="N8" s="39">
        <v>0</v>
      </c>
      <c r="O8" s="12">
        <f>(L8*0.5)+(M8*0.4)+(N8*0.1)</f>
        <v>0</v>
      </c>
      <c r="P8" s="12">
        <v>158</v>
      </c>
      <c r="Q8" s="40">
        <f>ABS(G8-H8)</f>
        <v>0.10000000000000053</v>
      </c>
      <c r="R8" s="40">
        <f>ABS(G8-I8)</f>
        <v>0.07606951871657852</v>
      </c>
      <c r="S8" s="40">
        <f>ABS(H8-I8)</f>
        <v>0.02393048128342201</v>
      </c>
      <c r="T8" s="37">
        <f>SUM(E8,F8)/P8</f>
        <v>4.734177215189874</v>
      </c>
      <c r="U8" s="37">
        <f>LOG10(E8+F8)*I8</f>
        <v>13.438563661564878</v>
      </c>
      <c r="V8" s="37">
        <f>(L8/P8)*100</f>
        <v>0</v>
      </c>
      <c r="W8" s="37">
        <f>(M8/P8)*100</f>
        <v>0</v>
      </c>
      <c r="X8" s="37">
        <f>(N8/P8)*100</f>
        <v>0</v>
      </c>
      <c r="Y8" s="37">
        <f>(O8/P8)*100</f>
        <v>0</v>
      </c>
      <c r="Z8" s="37">
        <f>E8/F8</f>
        <v>0.3145869947275923</v>
      </c>
      <c r="AA8" s="40">
        <f>(SUM(E8,F8)/(L8+0.1))/100</f>
        <v>74.8</v>
      </c>
      <c r="AB8" s="40">
        <f>(SUM(E8,F8)/(M8+0.1))/100</f>
        <v>74.8</v>
      </c>
      <c r="AC8" s="40">
        <f>(SUM(E8,F8)/(N8+0.1))/100</f>
        <v>74.8</v>
      </c>
      <c r="AD8" s="40">
        <f>(SUM(E8,F8)/(O8+0.1))/100</f>
        <v>74.8</v>
      </c>
    </row>
    <row r="9" ht="42.75">
      <c r="A9" s="34">
        <f>A8+1</f>
        <v>120</v>
      </c>
      <c r="B9" s="34" t="s">
        <v>186</v>
      </c>
      <c r="C9" s="35" t="s">
        <v>194</v>
      </c>
      <c r="D9" s="35" t="s">
        <v>105</v>
      </c>
      <c r="E9" s="12">
        <v>241</v>
      </c>
      <c r="F9" s="39">
        <v>443</v>
      </c>
      <c r="G9" s="12">
        <v>4.6</v>
      </c>
      <c r="H9" s="39">
        <v>4.6</v>
      </c>
      <c r="I9" s="12">
        <f>((G9*E9)+(H9*F9))/SUM(E9,F9)</f>
        <v>4.6</v>
      </c>
      <c r="J9" s="12">
        <v>1</v>
      </c>
      <c r="K9" s="39">
        <v>8</v>
      </c>
      <c r="L9" s="39">
        <v>0</v>
      </c>
      <c r="M9" s="39">
        <v>0</v>
      </c>
      <c r="N9" s="39">
        <v>0</v>
      </c>
      <c r="O9" s="12">
        <f>(L9*0.5)+(M9*0.4)+(N9*0.1)</f>
        <v>0</v>
      </c>
      <c r="P9" s="12">
        <v>406</v>
      </c>
      <c r="Q9" s="40">
        <f>ABS(G9-H9)</f>
        <v>0</v>
      </c>
      <c r="R9" s="40">
        <f>ABS(G9-I9)</f>
        <v>0</v>
      </c>
      <c r="S9" s="40">
        <f>ABS(H9-I9)</f>
        <v>0</v>
      </c>
      <c r="T9" s="37">
        <f>SUM(E9,F9)/P9</f>
        <v>1.6847290640394088</v>
      </c>
      <c r="U9" s="37">
        <f>LOG10(E9+F9)*I9</f>
        <v>13.041258067912533</v>
      </c>
      <c r="V9" s="37">
        <f>(L9/P9)*100</f>
        <v>0</v>
      </c>
      <c r="W9" s="37">
        <f>(M9/P9)*100</f>
        <v>0</v>
      </c>
      <c r="X9" s="37">
        <f>(N9/P9)*100</f>
        <v>0</v>
      </c>
      <c r="Y9" s="37">
        <f>(O9/P9)*100</f>
        <v>0</v>
      </c>
      <c r="Z9" s="37">
        <f>E9/F9</f>
        <v>0.5440180586907449</v>
      </c>
      <c r="AA9" s="40">
        <f>(SUM(E9,F9)/(L9+0.1))/100</f>
        <v>68.4</v>
      </c>
      <c r="AB9" s="40">
        <f>(SUM(E9,F9)/(M9+0.1))/100</f>
        <v>68.4</v>
      </c>
      <c r="AC9" s="40">
        <f>(SUM(E9,F9)/(N9+0.1))/100</f>
        <v>68.4</v>
      </c>
      <c r="AD9" s="40">
        <f>(SUM(E9,F9)/(O9+0.1))/100</f>
        <v>68.4</v>
      </c>
    </row>
    <row r="10" ht="44.25">
      <c r="A10" s="34">
        <f>A9+1</f>
        <v>121</v>
      </c>
      <c r="B10" s="34" t="s">
        <v>186</v>
      </c>
      <c r="C10" s="35" t="s">
        <v>195</v>
      </c>
      <c r="D10" s="35" t="s">
        <v>105</v>
      </c>
      <c r="E10" s="12">
        <v>77</v>
      </c>
      <c r="F10" s="39">
        <v>274</v>
      </c>
      <c r="G10" s="12">
        <v>4.8</v>
      </c>
      <c r="H10" s="39">
        <v>4.6</v>
      </c>
      <c r="I10" s="12">
        <f>((G10*E10)+(H10*F10))/SUM(E10,F10)</f>
        <v>4.643874643874644</v>
      </c>
      <c r="J10" s="12">
        <v>1</v>
      </c>
      <c r="K10" s="39">
        <v>9</v>
      </c>
      <c r="L10" s="39">
        <v>0</v>
      </c>
      <c r="M10" s="39">
        <v>0</v>
      </c>
      <c r="N10" s="39">
        <v>0</v>
      </c>
      <c r="O10" s="12">
        <f>(L10*0.5)+(M10*0.4)+(N10*0.1)</f>
        <v>0</v>
      </c>
      <c r="P10" s="12">
        <v>138</v>
      </c>
      <c r="Q10" s="40">
        <f>ABS(G10-H10)</f>
        <v>0.20000000000000018</v>
      </c>
      <c r="R10" s="40">
        <f>ABS(G10-I10)</f>
        <v>0.15612535612535616</v>
      </c>
      <c r="S10" s="40">
        <f>ABS(H10-I10)</f>
        <v>0.043874643874644015</v>
      </c>
      <c r="T10" s="37">
        <f>SUM(E10,F10)/P10</f>
        <v>2.5434782608695654</v>
      </c>
      <c r="U10" s="37">
        <f>LOG10(E10+F10)*I10</f>
        <v>11.820087179029324</v>
      </c>
      <c r="V10" s="37">
        <f>(L10/P10)*100</f>
        <v>0</v>
      </c>
      <c r="W10" s="37">
        <f>(M10/P10)*100</f>
        <v>0</v>
      </c>
      <c r="X10" s="37">
        <f>(N10/P10)*100</f>
        <v>0</v>
      </c>
      <c r="Y10" s="37">
        <f>(O10/P10)*100</f>
        <v>0</v>
      </c>
      <c r="Z10" s="37">
        <f>E10/F10</f>
        <v>0.28102189781021897</v>
      </c>
      <c r="AA10" s="40">
        <f>(SUM(E10,F10)/(L10+0.1))/100</f>
        <v>35.1</v>
      </c>
      <c r="AB10" s="40">
        <f>(SUM(E10,F10)/(M10+0.1))/100</f>
        <v>35.1</v>
      </c>
      <c r="AC10" s="40">
        <f>(SUM(E10,F10)/(N10+0.1))/100</f>
        <v>35.1</v>
      </c>
      <c r="AD10" s="40">
        <f>(SUM(E10,F10)/(O10+0.1))/100</f>
        <v>35.1</v>
      </c>
    </row>
    <row r="11" ht="30.75">
      <c r="A11" s="34">
        <f>A10+1</f>
        <v>122</v>
      </c>
      <c r="B11" s="34" t="s">
        <v>186</v>
      </c>
      <c r="C11" s="35" t="s">
        <v>196</v>
      </c>
      <c r="D11" s="35" t="s">
        <v>105</v>
      </c>
      <c r="E11" s="12">
        <v>176</v>
      </c>
      <c r="F11" s="39">
        <v>164</v>
      </c>
      <c r="G11" s="12">
        <v>4.8</v>
      </c>
      <c r="H11" s="39">
        <v>4.6</v>
      </c>
      <c r="I11" s="12">
        <f>((G11*E11)+(H11*F11))/SUM(E11,F11)</f>
        <v>4.7035294117647055</v>
      </c>
      <c r="J11" s="12">
        <v>1</v>
      </c>
      <c r="K11" s="39">
        <v>10</v>
      </c>
      <c r="L11" s="39">
        <v>0</v>
      </c>
      <c r="M11" s="39">
        <v>0</v>
      </c>
      <c r="N11" s="39">
        <v>0</v>
      </c>
      <c r="O11" s="12">
        <f>(L11*0.5)+(M11*0.4)+(N11*0.1)</f>
        <v>0</v>
      </c>
      <c r="P11" s="12">
        <v>856</v>
      </c>
      <c r="Q11" s="40">
        <f>ABS(G11-H11)</f>
        <v>0.20000000000000018</v>
      </c>
      <c r="R11" s="40">
        <f>ABS(G11-I11)</f>
        <v>0.09647058823529431</v>
      </c>
      <c r="S11" s="40">
        <f>ABS(H11-I11)</f>
        <v>0.10352941176470587</v>
      </c>
      <c r="T11" s="37">
        <f>SUM(E11,F11)/P11</f>
        <v>0.397196261682243</v>
      </c>
      <c r="U11" s="37">
        <f>LOG10(E11+F11)*I11</f>
        <v>11.90688554157051</v>
      </c>
      <c r="V11" s="37">
        <f>(L11/P11)*100</f>
        <v>0</v>
      </c>
      <c r="W11" s="37">
        <f>(M11/P11)*100</f>
        <v>0</v>
      </c>
      <c r="X11" s="37">
        <f>(N11/P11)*100</f>
        <v>0</v>
      </c>
      <c r="Y11" s="37">
        <f>(O11/P11)*100</f>
        <v>0</v>
      </c>
      <c r="Z11" s="37">
        <f>E11/F11</f>
        <v>1.0731707317073171</v>
      </c>
      <c r="AA11" s="40">
        <f>(SUM(E11,F11)/(L11+0.1))/100</f>
        <v>34</v>
      </c>
      <c r="AB11" s="40">
        <f>(SUM(E11,F11)/(M11+0.1))/100</f>
        <v>34</v>
      </c>
      <c r="AC11" s="40">
        <f>(SUM(E11,F11)/(N11+0.1))/100</f>
        <v>34</v>
      </c>
      <c r="AD11" s="40">
        <f>(SUM(E11,F11)/(O11+0.1))/100</f>
        <v>34</v>
      </c>
    </row>
    <row r="12" ht="44.25">
      <c r="A12" s="34">
        <f>A11+1</f>
        <v>123</v>
      </c>
      <c r="B12" s="34" t="s">
        <v>186</v>
      </c>
      <c r="C12" s="35" t="s">
        <v>197</v>
      </c>
      <c r="D12" s="35" t="s">
        <v>105</v>
      </c>
      <c r="E12" s="12">
        <v>37</v>
      </c>
      <c r="F12" s="39">
        <v>60</v>
      </c>
      <c r="G12" s="12">
        <v>4.9</v>
      </c>
      <c r="H12" s="39">
        <v>4.9</v>
      </c>
      <c r="I12" s="12">
        <f>((G12*E12)+(H12*F12))/SUM(E12,F12)</f>
        <v>4.9</v>
      </c>
      <c r="J12" s="12">
        <v>1</v>
      </c>
      <c r="K12" s="39">
        <v>11</v>
      </c>
      <c r="L12" s="39">
        <v>0</v>
      </c>
      <c r="M12" s="39">
        <v>0</v>
      </c>
      <c r="N12" s="39">
        <v>0</v>
      </c>
      <c r="O12" s="12">
        <f>(L12*0.5)+(M12*0.4)+(N12*0.1)</f>
        <v>0</v>
      </c>
      <c r="P12" s="12">
        <v>878</v>
      </c>
      <c r="Q12" s="40">
        <f>ABS(G12-H12)</f>
        <v>0</v>
      </c>
      <c r="R12" s="40">
        <f>ABS(G12-I12)</f>
        <v>0</v>
      </c>
      <c r="S12" s="40">
        <f>ABS(H12-I12)</f>
        <v>0</v>
      </c>
      <c r="T12" s="37">
        <f>SUM(E12,F12)/P12</f>
        <v>0.11047835990888383</v>
      </c>
      <c r="U12" s="37">
        <f>LOG10(E12+F12)*I12</f>
        <v>9.7351814979046</v>
      </c>
      <c r="V12" s="37">
        <f>(L12/P12)*100</f>
        <v>0</v>
      </c>
      <c r="W12" s="37">
        <f>(M12/P12)*100</f>
        <v>0</v>
      </c>
      <c r="X12" s="37">
        <f>(N12/P12)*100</f>
        <v>0</v>
      </c>
      <c r="Y12" s="37">
        <f>(O12/P12)*100</f>
        <v>0</v>
      </c>
      <c r="Z12" s="37">
        <f>E12/F12</f>
        <v>0.6166666666666667</v>
      </c>
      <c r="AA12" s="40">
        <f>(SUM(E12,F12)/(L12+0.1))/100</f>
        <v>9.7</v>
      </c>
      <c r="AB12" s="40">
        <f>(SUM(E12,F12)/(M12+0.1))/100</f>
        <v>9.7</v>
      </c>
      <c r="AC12" s="40">
        <f>(SUM(E12,F12)/(N12+0.1))/100</f>
        <v>9.7</v>
      </c>
      <c r="AD12" s="40">
        <f>(SUM(E12,F12)/(O12+0.1))/100</f>
        <v>9.7</v>
      </c>
    </row>
    <row r="13" ht="30.75">
      <c r="A13" s="34">
        <f>A12+1</f>
        <v>124</v>
      </c>
      <c r="B13" s="34" t="s">
        <v>186</v>
      </c>
      <c r="C13" s="35" t="s">
        <v>198</v>
      </c>
      <c r="D13" s="35" t="s">
        <v>105</v>
      </c>
      <c r="E13" s="12">
        <v>194</v>
      </c>
      <c r="F13" s="39">
        <v>126</v>
      </c>
      <c r="G13" s="12">
        <v>4.6</v>
      </c>
      <c r="H13" s="39">
        <v>4.7</v>
      </c>
      <c r="I13" s="12">
        <f>((G13*E13)+(H13*F13))/SUM(E13,F13)</f>
        <v>4.639374999999999</v>
      </c>
      <c r="J13" s="12">
        <v>1</v>
      </c>
      <c r="K13" s="39">
        <v>12</v>
      </c>
      <c r="L13" s="39">
        <v>0</v>
      </c>
      <c r="M13" s="39">
        <v>0</v>
      </c>
      <c r="N13" s="39">
        <v>0</v>
      </c>
      <c r="O13" s="12">
        <f>(L13*0.5)+(M13*0.4)+(N13*0.1)</f>
        <v>0</v>
      </c>
      <c r="P13" s="12">
        <v>1500</v>
      </c>
      <c r="Q13" s="40">
        <f>ABS(G13-H13)</f>
        <v>0.10000000000000053</v>
      </c>
      <c r="R13" s="40">
        <f>ABS(G13-I13)</f>
        <v>0.039374999999999716</v>
      </c>
      <c r="S13" s="40">
        <f>ABS(H13-I13)</f>
        <v>0.06062500000000082</v>
      </c>
      <c r="T13" s="37">
        <f>SUM(E13,F13)/P13</f>
        <v>0.21333333333333335</v>
      </c>
      <c r="U13" s="37">
        <f>LOG10(E13+F13)*I13</f>
        <v>11.62233018066791</v>
      </c>
      <c r="V13" s="37">
        <f>(L13/P13)*100</f>
        <v>0</v>
      </c>
      <c r="W13" s="37">
        <f>(M13/P13)*100</f>
        <v>0</v>
      </c>
      <c r="X13" s="37">
        <f>(N13/P13)*100</f>
        <v>0</v>
      </c>
      <c r="Y13" s="37">
        <f>(O13/P13)*100</f>
        <v>0</v>
      </c>
      <c r="Z13" s="37">
        <f>E13/F13</f>
        <v>1.5396825396825398</v>
      </c>
      <c r="AA13" s="40">
        <f>(SUM(E13,F13)/(L13+0.1))/100</f>
        <v>32</v>
      </c>
      <c r="AB13" s="40">
        <f>(SUM(E13,F13)/(M13+0.1))/100</f>
        <v>32</v>
      </c>
      <c r="AC13" s="40">
        <f>(SUM(E13,F13)/(N13+0.1))/100</f>
        <v>32</v>
      </c>
      <c r="AD13" s="40">
        <f>(SUM(E13,F13)/(O13+0.1))/100</f>
        <v>32</v>
      </c>
    </row>
    <row r="14" ht="30.75">
      <c r="A14" s="34">
        <f>A13+1</f>
        <v>125</v>
      </c>
      <c r="B14" s="34" t="s">
        <v>186</v>
      </c>
      <c r="C14" s="35" t="s">
        <v>199</v>
      </c>
      <c r="D14" s="35" t="s">
        <v>105</v>
      </c>
      <c r="E14" s="12">
        <v>188</v>
      </c>
      <c r="F14" s="39">
        <v>147</v>
      </c>
      <c r="G14" s="12">
        <v>4.4</v>
      </c>
      <c r="H14" s="39">
        <v>4.8</v>
      </c>
      <c r="I14" s="12">
        <f>((G14*E14)+(H14*F14))/SUM(E14,F14)</f>
        <v>4.575522388059702</v>
      </c>
      <c r="J14" s="12">
        <v>1</v>
      </c>
      <c r="K14" s="39">
        <v>13</v>
      </c>
      <c r="L14" s="39">
        <v>0</v>
      </c>
      <c r="M14" s="39">
        <v>0</v>
      </c>
      <c r="N14" s="39">
        <v>0</v>
      </c>
      <c r="O14" s="12">
        <f>(L14*0.5)+(M14*0.4)+(N14*0.1)</f>
        <v>0</v>
      </c>
      <c r="P14" s="12">
        <v>196</v>
      </c>
      <c r="Q14" s="40">
        <f>ABS(G14-H14)</f>
        <v>0.39999999999999947</v>
      </c>
      <c r="R14" s="40">
        <f>ABS(G14-I14)</f>
        <v>0.17552238805970166</v>
      </c>
      <c r="S14" s="40">
        <f>ABS(H14-I14)</f>
        <v>0.2244776119402978</v>
      </c>
      <c r="T14" s="37">
        <f>SUM(E14,F14)/P14</f>
        <v>1.7091836734693877</v>
      </c>
      <c r="U14" s="37">
        <f>LOG10(E14+F14)*I14</f>
        <v>11.553399045450975</v>
      </c>
      <c r="V14" s="37">
        <f>(L14/P14)*100</f>
        <v>0</v>
      </c>
      <c r="W14" s="37">
        <f>(M14/P14)*100</f>
        <v>0</v>
      </c>
      <c r="X14" s="37">
        <f>(N14/P14)*100</f>
        <v>0</v>
      </c>
      <c r="Y14" s="37">
        <f>(O14/P14)*100</f>
        <v>0</v>
      </c>
      <c r="Z14" s="37">
        <f>E14/F14</f>
        <v>1.2789115646258504</v>
      </c>
      <c r="AA14" s="40">
        <f>(SUM(E14,F14)/(L14+0.1))/100</f>
        <v>33.5</v>
      </c>
      <c r="AB14" s="40">
        <f>(SUM(E14,F14)/(M14+0.1))/100</f>
        <v>33.5</v>
      </c>
      <c r="AC14" s="40">
        <f>(SUM(E14,F14)/(N14+0.1))/100</f>
        <v>33.5</v>
      </c>
      <c r="AD14" s="40">
        <f>(SUM(E14,F14)/(O14+0.1))/100</f>
        <v>33.5</v>
      </c>
    </row>
    <row r="15" ht="57">
      <c r="A15" s="34">
        <f>A14+1</f>
        <v>126</v>
      </c>
      <c r="B15" s="34" t="s">
        <v>186</v>
      </c>
      <c r="C15" s="35" t="s">
        <v>200</v>
      </c>
      <c r="D15" s="35" t="s">
        <v>105</v>
      </c>
      <c r="E15" s="12">
        <v>723</v>
      </c>
      <c r="F15" s="39">
        <v>579</v>
      </c>
      <c r="G15" s="12">
        <v>4.3</v>
      </c>
      <c r="H15" s="39">
        <v>4.4</v>
      </c>
      <c r="I15" s="12">
        <f>((G15*E15)+(H15*F15))/SUM(E15,F15)</f>
        <v>4.344470046082949</v>
      </c>
      <c r="J15" s="12">
        <v>1</v>
      </c>
      <c r="K15" s="39">
        <v>14</v>
      </c>
      <c r="L15" s="39">
        <v>0</v>
      </c>
      <c r="M15" s="39">
        <v>0</v>
      </c>
      <c r="N15" s="39">
        <v>0</v>
      </c>
      <c r="O15" s="12">
        <f>(L15*0.5)+(M15*0.4)+(N15*0.1)</f>
        <v>0</v>
      </c>
      <c r="P15" s="12">
        <v>1000</v>
      </c>
      <c r="Q15" s="40">
        <f>ABS(G15-H15)</f>
        <v>0.10000000000000053</v>
      </c>
      <c r="R15" s="40">
        <f>ABS(G15-I15)</f>
        <v>0.044470046082949466</v>
      </c>
      <c r="S15" s="40">
        <f>ABS(H15-I15)</f>
        <v>0.05552995391705107</v>
      </c>
      <c r="T15" s="37">
        <f>SUM(E15,F15)/P15</f>
        <v>1.302</v>
      </c>
      <c r="U15" s="37">
        <f>LOG10(E15+F15)*I15</f>
        <v>13.531334126197608</v>
      </c>
      <c r="V15" s="37">
        <f>(L15/P15)*100</f>
        <v>0</v>
      </c>
      <c r="W15" s="37">
        <f>(M15/P15)*100</f>
        <v>0</v>
      </c>
      <c r="X15" s="37">
        <f>(N15/P15)*100</f>
        <v>0</v>
      </c>
      <c r="Y15" s="37">
        <f>(O15/P15)*100</f>
        <v>0</v>
      </c>
      <c r="Z15" s="37">
        <f>E15/F15</f>
        <v>1.2487046632124352</v>
      </c>
      <c r="AA15" s="40">
        <f>(SUM(E15,F15)/(L15+0.1))/100</f>
        <v>130.2</v>
      </c>
      <c r="AB15" s="40">
        <f>(SUM(E15,F15)/(M15+0.1))/100</f>
        <v>130.2</v>
      </c>
      <c r="AC15" s="40">
        <f>(SUM(E15,F15)/(N15+0.1))/100</f>
        <v>130.2</v>
      </c>
      <c r="AD15" s="40">
        <f>(SUM(E15,F15)/(O15+0.1))/100</f>
        <v>130.2</v>
      </c>
    </row>
    <row r="16" ht="71.25">
      <c r="A16" s="34">
        <f>A15+1</f>
        <v>127</v>
      </c>
      <c r="B16" s="34" t="s">
        <v>186</v>
      </c>
      <c r="C16" s="35" t="s">
        <v>201</v>
      </c>
      <c r="D16" s="35" t="s">
        <v>105</v>
      </c>
      <c r="E16" s="12">
        <v>1259</v>
      </c>
      <c r="F16" s="39">
        <v>809</v>
      </c>
      <c r="G16" s="12">
        <v>4.1</v>
      </c>
      <c r="H16" s="39">
        <v>4.1</v>
      </c>
      <c r="I16" s="12">
        <f>((G16*E16)+(H16*F16))/SUM(E16,F16)</f>
        <v>4.1</v>
      </c>
      <c r="J16" s="12">
        <v>1</v>
      </c>
      <c r="K16" s="39">
        <v>15</v>
      </c>
      <c r="L16" s="39">
        <v>0</v>
      </c>
      <c r="M16" s="39">
        <v>0</v>
      </c>
      <c r="N16" s="39">
        <v>0</v>
      </c>
      <c r="O16" s="12">
        <f>(L16*0.5)+(M16*0.4)+(N16*0.1)</f>
        <v>0</v>
      </c>
      <c r="P16" s="12">
        <v>1050</v>
      </c>
      <c r="Q16" s="40">
        <f>ABS(G16-H16)</f>
        <v>0</v>
      </c>
      <c r="R16" s="40">
        <f>ABS(G16-I16)</f>
        <v>0</v>
      </c>
      <c r="S16" s="40">
        <f>ABS(H16-I16)</f>
        <v>0</v>
      </c>
      <c r="T16" s="37">
        <f>SUM(E16,F16)/P16</f>
        <v>1.9695238095238095</v>
      </c>
      <c r="U16" s="37">
        <f>LOG10(E16+F16)*I16</f>
        <v>13.593757191129809</v>
      </c>
      <c r="V16" s="37">
        <f>(L16/P16)*100</f>
        <v>0</v>
      </c>
      <c r="W16" s="37">
        <f>(M16/P16)*100</f>
        <v>0</v>
      </c>
      <c r="X16" s="37">
        <f>(N16/P16)*100</f>
        <v>0</v>
      </c>
      <c r="Y16" s="37">
        <f>(O16/P16)*100</f>
        <v>0</v>
      </c>
      <c r="Z16" s="37">
        <f>E16/F16</f>
        <v>1.5562422744128555</v>
      </c>
      <c r="AA16" s="40">
        <f>(SUM(E16,F16)/(L16+0.1))/100</f>
        <v>206.8</v>
      </c>
      <c r="AB16" s="40">
        <f>(SUM(E16,F16)/(M16+0.1))/100</f>
        <v>206.8</v>
      </c>
      <c r="AC16" s="40">
        <f>(SUM(E16,F16)/(N16+0.1))/100</f>
        <v>206.8</v>
      </c>
      <c r="AD16" s="40">
        <f>(SUM(E16,F16)/(O16+0.1))/100</f>
        <v>206.8</v>
      </c>
    </row>
    <row r="17" ht="44.25">
      <c r="A17" s="34">
        <f>A16+1</f>
        <v>128</v>
      </c>
      <c r="B17" s="34" t="s">
        <v>186</v>
      </c>
      <c r="C17" s="35" t="s">
        <v>202</v>
      </c>
      <c r="D17" s="35" t="s">
        <v>105</v>
      </c>
      <c r="E17" s="12">
        <v>15</v>
      </c>
      <c r="F17" s="39">
        <v>288</v>
      </c>
      <c r="G17" s="12">
        <v>3.8</v>
      </c>
      <c r="H17" s="39">
        <v>4.7</v>
      </c>
      <c r="I17" s="12">
        <f>((G17*E17)+(H17*F17))/SUM(E17,F17)</f>
        <v>4.655445544554456</v>
      </c>
      <c r="J17" s="12">
        <v>1</v>
      </c>
      <c r="K17" s="39">
        <v>16</v>
      </c>
      <c r="L17" s="39">
        <v>0</v>
      </c>
      <c r="M17" s="39">
        <v>0</v>
      </c>
      <c r="N17" s="39">
        <v>0</v>
      </c>
      <c r="O17" s="12">
        <f>(L17*0.5)+(M17*0.4)+(N17*0.1)</f>
        <v>0</v>
      </c>
      <c r="P17" s="12">
        <v>1200</v>
      </c>
      <c r="Q17" s="40">
        <f>ABS(G17-H17)</f>
        <v>0.9000000000000004</v>
      </c>
      <c r="R17" s="40">
        <f>ABS(G17-I17)</f>
        <v>0.8554455445544562</v>
      </c>
      <c r="S17" s="40">
        <f>ABS(H17-I17)</f>
        <v>0.04455445544554415</v>
      </c>
      <c r="T17" s="37">
        <f>SUM(E17,F17)/P17</f>
        <v>0.2525</v>
      </c>
      <c r="U17" s="37">
        <f>LOG10(E17+F17)*I17</f>
        <v>11.552221028928553</v>
      </c>
      <c r="V17" s="37">
        <f>(L17/P17)*100</f>
        <v>0</v>
      </c>
      <c r="W17" s="37">
        <f>(M17/P17)*100</f>
        <v>0</v>
      </c>
      <c r="X17" s="37">
        <f>(N17/P17)*100</f>
        <v>0</v>
      </c>
      <c r="Y17" s="37">
        <f>(O17/P17)*100</f>
        <v>0</v>
      </c>
      <c r="Z17" s="37">
        <f>E17/F17</f>
        <v>0.052083333333333336</v>
      </c>
      <c r="AA17" s="40">
        <f>(SUM(E17,F17)/(L17+0.1))/100</f>
        <v>30.3</v>
      </c>
      <c r="AB17" s="40">
        <f>(SUM(E17,F17)/(M17+0.1))/100</f>
        <v>30.3</v>
      </c>
      <c r="AC17" s="40">
        <f>(SUM(E17,F17)/(N17+0.1))/100</f>
        <v>30.3</v>
      </c>
      <c r="AD17" s="40">
        <f>(SUM(E17,F17)/(O17+0.1))/100</f>
        <v>30.3</v>
      </c>
    </row>
    <row r="18" ht="71.25">
      <c r="A18" s="34">
        <f>A17+1</f>
        <v>129</v>
      </c>
      <c r="B18" s="34" t="s">
        <v>186</v>
      </c>
      <c r="C18" s="35" t="s">
        <v>203</v>
      </c>
      <c r="D18" s="35" t="s">
        <v>105</v>
      </c>
      <c r="E18" s="12">
        <v>138</v>
      </c>
      <c r="F18" s="39">
        <v>228</v>
      </c>
      <c r="G18" s="12">
        <v>4.3</v>
      </c>
      <c r="H18" s="39">
        <v>4.4</v>
      </c>
      <c r="I18" s="12">
        <f>((G18*E18)+(H18*F18))/SUM(E18,F18)</f>
        <v>4.362295081967213</v>
      </c>
      <c r="J18" s="12">
        <v>1</v>
      </c>
      <c r="K18" s="39">
        <v>17</v>
      </c>
      <c r="L18" s="39">
        <v>0</v>
      </c>
      <c r="M18" s="39">
        <v>0</v>
      </c>
      <c r="N18" s="39">
        <v>0</v>
      </c>
      <c r="O18" s="12">
        <f>(L18*0.5)+(M18*0.4)+(N18*0.1)</f>
        <v>0</v>
      </c>
      <c r="P18" s="12">
        <v>431</v>
      </c>
      <c r="Q18" s="40">
        <f>ABS(G18-H18)</f>
        <v>0.10000000000000053</v>
      </c>
      <c r="R18" s="40">
        <f>ABS(G18-I18)</f>
        <v>0.06229508196721323</v>
      </c>
      <c r="S18" s="40">
        <f>ABS(H18-I18)</f>
        <v>0.037704918032787305</v>
      </c>
      <c r="T18" s="37">
        <f>SUM(E18,F18)/P18</f>
        <v>0.8491879350348028</v>
      </c>
      <c r="U18" s="37">
        <f>LOG10(E18+F18)*I18</f>
        <v>11.182660931532011</v>
      </c>
      <c r="V18" s="37">
        <f>(L18/P18)*100</f>
        <v>0</v>
      </c>
      <c r="W18" s="37">
        <f>(M18/P18)*100</f>
        <v>0</v>
      </c>
      <c r="X18" s="37">
        <f>(N18/P18)*100</f>
        <v>0</v>
      </c>
      <c r="Y18" s="37">
        <f>(O18/P18)*100</f>
        <v>0</v>
      </c>
      <c r="Z18" s="37">
        <f>E18/F18</f>
        <v>0.6052631578947368</v>
      </c>
      <c r="AA18" s="40">
        <f>(SUM(E18,F18)/(L18+0.1))/100</f>
        <v>36.6</v>
      </c>
      <c r="AB18" s="40">
        <f>(SUM(E18,F18)/(M18+0.1))/100</f>
        <v>36.6</v>
      </c>
      <c r="AC18" s="40">
        <f>(SUM(E18,F18)/(N18+0.1))/100</f>
        <v>36.6</v>
      </c>
      <c r="AD18" s="40">
        <f>(SUM(E18,F18)/(O18+0.1))/100</f>
        <v>36.6</v>
      </c>
    </row>
    <row r="19" ht="44.25">
      <c r="A19" s="34">
        <f>A18+1</f>
        <v>130</v>
      </c>
      <c r="B19" s="34" t="s">
        <v>186</v>
      </c>
      <c r="C19" s="35" t="s">
        <v>204</v>
      </c>
      <c r="D19" s="35" t="s">
        <v>105</v>
      </c>
      <c r="E19" s="12">
        <v>47</v>
      </c>
      <c r="F19" s="39">
        <v>147</v>
      </c>
      <c r="G19" s="12">
        <v>4.1</v>
      </c>
      <c r="H19" s="39">
        <v>4.6</v>
      </c>
      <c r="I19" s="12">
        <f>((G19*E19)+(H19*F19))/SUM(E19,F19)</f>
        <v>4.4788659793814425</v>
      </c>
      <c r="J19" s="12">
        <v>1</v>
      </c>
      <c r="K19" s="39">
        <v>18</v>
      </c>
      <c r="L19" s="39">
        <v>0</v>
      </c>
      <c r="M19" s="39">
        <v>0</v>
      </c>
      <c r="N19" s="39">
        <v>0</v>
      </c>
      <c r="O19" s="12">
        <f>(L19*0.5)+(M19*0.4)+(N19*0.1)</f>
        <v>0</v>
      </c>
      <c r="P19" s="12">
        <v>584</v>
      </c>
      <c r="Q19" s="40">
        <f>ABS(G19-H19)</f>
        <v>0.5</v>
      </c>
      <c r="R19" s="40">
        <f>ABS(G19-I19)</f>
        <v>0.37886597938144284</v>
      </c>
      <c r="S19" s="40">
        <f>ABS(H19-I19)</f>
        <v>0.12113402061855716</v>
      </c>
      <c r="T19" s="37">
        <f>SUM(E19,F19)/P19</f>
        <v>0.3321917808219178</v>
      </c>
      <c r="U19" s="37">
        <f>LOG10(E19+F19)*I19</f>
        <v>10.2467573357545</v>
      </c>
      <c r="V19" s="37">
        <f>(L19/P19)*100</f>
        <v>0</v>
      </c>
      <c r="W19" s="37">
        <f>(M19/P19)*100</f>
        <v>0</v>
      </c>
      <c r="X19" s="37">
        <f>(N19/P19)*100</f>
        <v>0</v>
      </c>
      <c r="Y19" s="37">
        <f>(O19/P19)*100</f>
        <v>0</v>
      </c>
      <c r="Z19" s="37">
        <f>E19/F19</f>
        <v>0.3197278911564626</v>
      </c>
      <c r="AA19" s="40">
        <f>(SUM(E19,F19)/(L19+0.1))/100</f>
        <v>19.4</v>
      </c>
      <c r="AB19" s="40">
        <f>(SUM(E19,F19)/(M19+0.1))/100</f>
        <v>19.4</v>
      </c>
      <c r="AC19" s="40">
        <f>(SUM(E19,F19)/(N19+0.1))/100</f>
        <v>19.4</v>
      </c>
      <c r="AD19" s="40">
        <f>(SUM(E19,F19)/(O19+0.1))/100</f>
        <v>19.4</v>
      </c>
    </row>
    <row r="20" ht="44.25">
      <c r="A20" s="34">
        <f>A19+1</f>
        <v>131</v>
      </c>
      <c r="B20" s="34" t="s">
        <v>186</v>
      </c>
      <c r="C20" s="35" t="s">
        <v>205</v>
      </c>
      <c r="D20" s="35" t="s">
        <v>105</v>
      </c>
      <c r="E20" s="12">
        <v>100</v>
      </c>
      <c r="F20" s="39">
        <v>123</v>
      </c>
      <c r="G20" s="12">
        <v>4.4</v>
      </c>
      <c r="H20" s="39">
        <v>4.6</v>
      </c>
      <c r="I20" s="12">
        <f>((G20*E20)+(H20*F20))/SUM(E20,F20)</f>
        <v>4.510313901345291</v>
      </c>
      <c r="J20" s="12">
        <v>1</v>
      </c>
      <c r="K20" s="39">
        <v>19</v>
      </c>
      <c r="L20" s="39">
        <v>0</v>
      </c>
      <c r="M20" s="39">
        <v>0</v>
      </c>
      <c r="N20" s="39">
        <v>0</v>
      </c>
      <c r="O20" s="12">
        <f>(L20*0.5)+(M20*0.4)+(N20*0.1)</f>
        <v>0</v>
      </c>
      <c r="P20" s="12">
        <v>210</v>
      </c>
      <c r="Q20" s="40">
        <f>ABS(G20-H20)</f>
        <v>0.1999999999999993</v>
      </c>
      <c r="R20" s="40">
        <f>ABS(G20-I20)</f>
        <v>0.11031390134529051</v>
      </c>
      <c r="S20" s="40">
        <f>ABS(H20-I20)</f>
        <v>0.08968609865470878</v>
      </c>
      <c r="T20" s="37">
        <f>SUM(E20,F20)/P20</f>
        <v>1.061904761904762</v>
      </c>
      <c r="U20" s="37">
        <f>LOG10(E20+F20)*I20</f>
        <v>10.591592068402868</v>
      </c>
      <c r="V20" s="37">
        <f>(L20/P20)*100</f>
        <v>0</v>
      </c>
      <c r="W20" s="37">
        <f>(M20/P20)*100</f>
        <v>0</v>
      </c>
      <c r="X20" s="37">
        <f>(N20/P20)*100</f>
        <v>0</v>
      </c>
      <c r="Y20" s="37">
        <f>(O20/P20)*100</f>
        <v>0</v>
      </c>
      <c r="Z20" s="37">
        <f>E20/F20</f>
        <v>0.8130081300813008</v>
      </c>
      <c r="AA20" s="40">
        <f>(SUM(E20,F20)/(L20+0.1))/100</f>
        <v>22.3</v>
      </c>
      <c r="AB20" s="40">
        <f>(SUM(E20,F20)/(M20+0.1))/100</f>
        <v>22.3</v>
      </c>
      <c r="AC20" s="40">
        <f>(SUM(E20,F20)/(N20+0.1))/100</f>
        <v>22.3</v>
      </c>
      <c r="AD20" s="40">
        <f>(SUM(E20,F20)/(O20+0.1))/100</f>
        <v>22.3</v>
      </c>
    </row>
    <row r="21" ht="44.25">
      <c r="A21" s="34">
        <f>A20+1</f>
        <v>132</v>
      </c>
      <c r="B21" s="34" t="s">
        <v>186</v>
      </c>
      <c r="C21" s="35" t="s">
        <v>206</v>
      </c>
      <c r="D21" s="35" t="s">
        <v>105</v>
      </c>
      <c r="E21" s="12">
        <v>134</v>
      </c>
      <c r="F21" s="39">
        <v>184</v>
      </c>
      <c r="G21" s="12">
        <v>4.3</v>
      </c>
      <c r="H21" s="39">
        <v>4.3</v>
      </c>
      <c r="I21" s="12">
        <f>((G21*E21)+(H21*F21))/SUM(E21,F21)</f>
        <v>4.3</v>
      </c>
      <c r="J21" s="12">
        <v>1</v>
      </c>
      <c r="K21" s="39">
        <v>20</v>
      </c>
      <c r="L21" s="39">
        <v>0</v>
      </c>
      <c r="M21" s="39">
        <v>0</v>
      </c>
      <c r="N21" s="39">
        <v>0</v>
      </c>
      <c r="O21" s="12">
        <f>(L21*0.5)+(M21*0.4)+(N21*0.1)</f>
        <v>0</v>
      </c>
      <c r="P21" s="12">
        <v>534</v>
      </c>
      <c r="Q21" s="40">
        <f>ABS(G21-H21)</f>
        <v>0</v>
      </c>
      <c r="R21" s="40">
        <f>ABS(G21-I21)</f>
        <v>0</v>
      </c>
      <c r="S21" s="40">
        <f>ABS(H21-I21)</f>
        <v>0</v>
      </c>
      <c r="T21" s="37">
        <f>SUM(E21,F21)/P21</f>
        <v>0.5955056179775281</v>
      </c>
      <c r="U21" s="37">
        <f>LOG10(E21+F21)*I21</f>
        <v>10.76043661593306</v>
      </c>
      <c r="V21" s="37">
        <f>(L21/P21)*100</f>
        <v>0</v>
      </c>
      <c r="W21" s="37">
        <f>(M21/P21)*100</f>
        <v>0</v>
      </c>
      <c r="X21" s="37">
        <f>(N21/P21)*100</f>
        <v>0</v>
      </c>
      <c r="Y21" s="37">
        <f>(O21/P21)*100</f>
        <v>0</v>
      </c>
      <c r="Z21" s="37">
        <f>E21/F21</f>
        <v>0.7282608695652174</v>
      </c>
      <c r="AA21" s="40">
        <f>(SUM(E21,F21)/(L21+0.1))/100</f>
        <v>31.8</v>
      </c>
      <c r="AB21" s="40">
        <f>(SUM(E21,F21)/(M21+0.1))/100</f>
        <v>31.8</v>
      </c>
      <c r="AC21" s="40">
        <f>(SUM(E21,F21)/(N21+0.1))/100</f>
        <v>31.8</v>
      </c>
      <c r="AD21" s="40">
        <f>(SUM(E21,F21)/(O21+0.1))/100</f>
        <v>31.8</v>
      </c>
    </row>
    <row r="22" ht="44.25">
      <c r="A22" s="34">
        <f>A21+1</f>
        <v>133</v>
      </c>
      <c r="B22" s="34" t="s">
        <v>186</v>
      </c>
      <c r="C22" s="35" t="s">
        <v>207</v>
      </c>
      <c r="D22" s="35" t="s">
        <v>105</v>
      </c>
      <c r="E22" s="13">
        <v>162</v>
      </c>
      <c r="F22" s="39">
        <v>77</v>
      </c>
      <c r="G22" s="13">
        <v>4.7</v>
      </c>
      <c r="H22" s="39">
        <v>4.7</v>
      </c>
      <c r="I22" s="12">
        <f>((G22*E22)+(H22*F22))/SUM(E22,F22)</f>
        <v>4.7</v>
      </c>
      <c r="J22" s="12">
        <v>1</v>
      </c>
      <c r="K22" s="39">
        <v>21</v>
      </c>
      <c r="L22" s="39">
        <v>0</v>
      </c>
      <c r="M22" s="39">
        <v>0</v>
      </c>
      <c r="N22" s="39">
        <v>0</v>
      </c>
      <c r="O22" s="12">
        <f>(L22*0.5)+(M22*0.4)+(N22*0.1)</f>
        <v>0</v>
      </c>
      <c r="P22" s="12">
        <v>220</v>
      </c>
      <c r="Q22" s="40">
        <f>ABS(G22-H22)</f>
        <v>0</v>
      </c>
      <c r="R22" s="40">
        <f>ABS(G22-I22)</f>
        <v>0</v>
      </c>
      <c r="S22" s="40">
        <f>ABS(H22-I22)</f>
        <v>0</v>
      </c>
      <c r="T22" s="37">
        <f>SUM(E22,F22)/P22</f>
        <v>1.0863636363636364</v>
      </c>
      <c r="U22" s="37">
        <f>LOG10(E22+F22)*I22</f>
        <v>11.178470134456246</v>
      </c>
      <c r="V22" s="37">
        <f>(L22/P22)*100</f>
        <v>0</v>
      </c>
      <c r="W22" s="37">
        <f>(M22/P22)*100</f>
        <v>0</v>
      </c>
      <c r="X22" s="37">
        <f>(N22/P22)*100</f>
        <v>0</v>
      </c>
      <c r="Y22" s="37">
        <f>(O22/P22)*100</f>
        <v>0</v>
      </c>
      <c r="Z22" s="37">
        <f>E22/F22</f>
        <v>2.103896103896104</v>
      </c>
      <c r="AA22" s="40">
        <f>(SUM(E22,F22)/(L22+0.1))/100</f>
        <v>23.9</v>
      </c>
      <c r="AB22" s="40">
        <f>(SUM(E22,F22)/(M22+0.1))/100</f>
        <v>23.9</v>
      </c>
      <c r="AC22" s="40">
        <f>(SUM(E22,F22)/(N22+0.1))/100</f>
        <v>23.9</v>
      </c>
      <c r="AD22" s="40">
        <f>(SUM(E22,F22)/(O22+0.1))/100</f>
        <v>23.9</v>
      </c>
    </row>
    <row r="23" ht="57">
      <c r="A23" s="34">
        <f>A22+1</f>
        <v>134</v>
      </c>
      <c r="B23" s="34" t="s">
        <v>186</v>
      </c>
      <c r="C23" s="35" t="s">
        <v>208</v>
      </c>
      <c r="D23" s="35" t="s">
        <v>105</v>
      </c>
      <c r="E23" s="12">
        <v>74</v>
      </c>
      <c r="F23" s="39">
        <v>125</v>
      </c>
      <c r="G23" s="12">
        <v>4.3</v>
      </c>
      <c r="H23" s="39">
        <v>4.6</v>
      </c>
      <c r="I23" s="12">
        <f>((G23*E23)+(H23*F23))/SUM(E23,F23)</f>
        <v>4.488442211055276</v>
      </c>
      <c r="J23" s="12">
        <v>1</v>
      </c>
      <c r="K23" s="39">
        <v>22</v>
      </c>
      <c r="L23" s="39">
        <v>0</v>
      </c>
      <c r="M23" s="39">
        <v>0</v>
      </c>
      <c r="N23" s="39">
        <v>0</v>
      </c>
      <c r="O23" s="12">
        <f>(L23*0.5)+(M23*0.4)+(N23*0.1)</f>
        <v>0</v>
      </c>
      <c r="P23" s="12">
        <v>508</v>
      </c>
      <c r="Q23" s="40">
        <f>ABS(G23-H23)</f>
        <v>0.2999999999999998</v>
      </c>
      <c r="R23" s="40">
        <f>ABS(G23-I23)</f>
        <v>0.1884422110552766</v>
      </c>
      <c r="S23" s="40">
        <f>ABS(H23-I23)</f>
        <v>0.11155778894472324</v>
      </c>
      <c r="T23" s="37">
        <f>SUM(E23,F23)/P23</f>
        <v>0.39173228346456695</v>
      </c>
      <c r="U23" s="37">
        <f>LOG10(E23+F23)*I23</f>
        <v>10.318269185171609</v>
      </c>
      <c r="V23" s="37">
        <f>(L23/P23)*100</f>
        <v>0</v>
      </c>
      <c r="W23" s="37">
        <f>(M23/P23)*100</f>
        <v>0</v>
      </c>
      <c r="X23" s="37">
        <f>(N23/P23)*100</f>
        <v>0</v>
      </c>
      <c r="Y23" s="37">
        <f>(O23/P23)*100</f>
        <v>0</v>
      </c>
      <c r="Z23" s="37">
        <f>E23/F23</f>
        <v>0.592</v>
      </c>
      <c r="AA23" s="40">
        <f>(SUM(E23,F23)/(L23+0.1))/100</f>
        <v>19.9</v>
      </c>
      <c r="AB23" s="40">
        <f>(SUM(E23,F23)/(M23+0.1))/100</f>
        <v>19.9</v>
      </c>
      <c r="AC23" s="40">
        <f>(SUM(E23,F23)/(N23+0.1))/100</f>
        <v>19.9</v>
      </c>
      <c r="AD23" s="40">
        <f>(SUM(E23,F23)/(O23+0.1))/100</f>
        <v>19.9</v>
      </c>
    </row>
    <row r="24" ht="44.25">
      <c r="A24" s="34">
        <f>A23+1</f>
        <v>135</v>
      </c>
      <c r="B24" s="34" t="s">
        <v>186</v>
      </c>
      <c r="C24" s="35" t="s">
        <v>209</v>
      </c>
      <c r="D24" s="35" t="s">
        <v>105</v>
      </c>
      <c r="E24" s="12">
        <v>242</v>
      </c>
      <c r="F24" s="39">
        <v>273</v>
      </c>
      <c r="G24" s="12">
        <v>4.1</v>
      </c>
      <c r="H24" s="39">
        <v>4.1</v>
      </c>
      <c r="I24" s="12">
        <f>((G24*E24)+(H24*F24))/SUM(E24,F24)</f>
        <v>4.1</v>
      </c>
      <c r="J24" s="12">
        <v>1</v>
      </c>
      <c r="K24" s="39">
        <v>23</v>
      </c>
      <c r="L24" s="39">
        <v>0</v>
      </c>
      <c r="M24" s="39">
        <v>0</v>
      </c>
      <c r="N24" s="39">
        <v>0</v>
      </c>
      <c r="O24" s="12">
        <f>(L24*0.5)+(M24*0.4)+(N24*0.1)</f>
        <v>0</v>
      </c>
      <c r="P24" s="12">
        <v>227</v>
      </c>
      <c r="Q24" s="40">
        <f>ABS(G24-H24)</f>
        <v>0</v>
      </c>
      <c r="R24" s="40">
        <f>ABS(G24-I24)</f>
        <v>0</v>
      </c>
      <c r="S24" s="40">
        <f>ABS(H24-I24)</f>
        <v>0</v>
      </c>
      <c r="T24" s="37">
        <f>SUM(E24,F24)/P24</f>
        <v>2.2687224669603525</v>
      </c>
      <c r="U24" s="37">
        <f>LOG10(E24+F24)*I24</f>
        <v>11.118409639068883</v>
      </c>
      <c r="V24" s="37">
        <f>(L24/P24)*100</f>
        <v>0</v>
      </c>
      <c r="W24" s="37">
        <f>(M24/P24)*100</f>
        <v>0</v>
      </c>
      <c r="X24" s="37">
        <f>(N24/P24)*100</f>
        <v>0</v>
      </c>
      <c r="Y24" s="37">
        <f>(O24/P24)*100</f>
        <v>0</v>
      </c>
      <c r="Z24" s="37">
        <f>E24/F24</f>
        <v>0.8864468864468864</v>
      </c>
      <c r="AA24" s="40">
        <f>(SUM(E24,F24)/(L24+0.1))/100</f>
        <v>51.5</v>
      </c>
      <c r="AB24" s="40">
        <f>(SUM(E24,F24)/(M24+0.1))/100</f>
        <v>51.5</v>
      </c>
      <c r="AC24" s="40">
        <f>(SUM(E24,F24)/(N24+0.1))/100</f>
        <v>51.5</v>
      </c>
      <c r="AD24" s="40">
        <f>(SUM(E24,F24)/(O24+0.1))/100</f>
        <v>51.5</v>
      </c>
    </row>
    <row r="25" ht="57">
      <c r="A25" s="34">
        <f>A24+1</f>
        <v>136</v>
      </c>
      <c r="B25" s="34" t="s">
        <v>186</v>
      </c>
      <c r="C25" s="35" t="s">
        <v>210</v>
      </c>
      <c r="D25" s="35" t="s">
        <v>105</v>
      </c>
      <c r="E25" s="12">
        <v>86</v>
      </c>
      <c r="F25" s="39">
        <v>76</v>
      </c>
      <c r="G25" s="12">
        <v>3.9</v>
      </c>
      <c r="H25" s="39">
        <v>4.4</v>
      </c>
      <c r="I25" s="12">
        <f>((G25*E25)+(H25*F25))/SUM(E25,F25)</f>
        <v>4.1345679012345675</v>
      </c>
      <c r="J25" s="12">
        <v>1</v>
      </c>
      <c r="K25" s="39">
        <v>24</v>
      </c>
      <c r="L25" s="39">
        <v>0</v>
      </c>
      <c r="M25" s="39">
        <v>0</v>
      </c>
      <c r="N25" s="39">
        <v>25</v>
      </c>
      <c r="O25" s="12">
        <f>(L25*0.5)+(M25*0.4)+(N25*0.1)</f>
        <v>2.5</v>
      </c>
      <c r="P25" s="13">
        <v>1780</v>
      </c>
      <c r="Q25" s="40">
        <f>ABS(G25-H25)</f>
        <v>0.5000000000000004</v>
      </c>
      <c r="R25" s="40">
        <f>ABS(G25-I25)</f>
        <v>0.2345679012345676</v>
      </c>
      <c r="S25" s="40">
        <f>ABS(H25-I25)</f>
        <v>0.26543209876543283</v>
      </c>
      <c r="T25" s="37">
        <f>SUM(E25,F25)/P25</f>
        <v>0.09101123595505618</v>
      </c>
      <c r="U25" s="37">
        <f>LOG10(E25+F25)*I25</f>
        <v>9.13538985642379</v>
      </c>
      <c r="V25" s="37">
        <f>(L25/P25)*100</f>
        <v>0</v>
      </c>
      <c r="W25" s="37">
        <f>(M25/P25)*100</f>
        <v>0</v>
      </c>
      <c r="X25" s="37">
        <f>(N25/P25)*100</f>
        <v>1.4044943820224718</v>
      </c>
      <c r="Y25" s="37">
        <f>(O25/P25)*100</f>
        <v>0.1404494382022472</v>
      </c>
      <c r="Z25" s="37">
        <f>E25/F25</f>
        <v>1.131578947368421</v>
      </c>
      <c r="AA25" s="40">
        <f>(SUM(E25,F25)/(L25+0.1))/100</f>
        <v>16.2</v>
      </c>
      <c r="AB25" s="40">
        <f>(SUM(E25,F25)/(M25+0.1))/100</f>
        <v>16.2</v>
      </c>
      <c r="AC25" s="40">
        <f>(SUM(E25,F25)/(N25+0.1))/100</f>
        <v>0.0645418326693227</v>
      </c>
      <c r="AD25" s="40">
        <f>(SUM(E25,F25)/(O25+0.1))/100</f>
        <v>0.6230769230769231</v>
      </c>
    </row>
    <row r="26" ht="42.75">
      <c r="A26" s="34">
        <f>A25+1</f>
        <v>137</v>
      </c>
      <c r="B26" s="34" t="s">
        <v>186</v>
      </c>
      <c r="C26" s="35" t="s">
        <v>211</v>
      </c>
      <c r="D26" s="35" t="s">
        <v>105</v>
      </c>
      <c r="E26" s="12">
        <v>164</v>
      </c>
      <c r="F26" s="39">
        <v>32</v>
      </c>
      <c r="G26" s="12">
        <v>4.9</v>
      </c>
      <c r="H26" s="39">
        <v>4.8</v>
      </c>
      <c r="I26" s="12">
        <f>((G26*E26)+(H26*F26))/SUM(E26,F26)</f>
        <v>4.883673469387755</v>
      </c>
      <c r="J26" s="12">
        <v>1</v>
      </c>
      <c r="K26" s="39">
        <v>25</v>
      </c>
      <c r="L26" s="39">
        <v>0</v>
      </c>
      <c r="M26" s="39">
        <v>0</v>
      </c>
      <c r="N26" s="39">
        <v>0</v>
      </c>
      <c r="O26" s="12">
        <f>(L26*0.5)+(M26*0.4)+(N26*0.1)</f>
        <v>0</v>
      </c>
      <c r="P26" s="40">
        <v>708</v>
      </c>
      <c r="Q26" s="40">
        <f>ABS(G26-H26)</f>
        <v>0.10000000000000053</v>
      </c>
      <c r="R26" s="40">
        <f>ABS(G26-I26)</f>
        <v>0.016326530612245094</v>
      </c>
      <c r="S26" s="40">
        <f>ABS(H26-I26)</f>
        <v>0.08367346938775544</v>
      </c>
      <c r="T26" s="40">
        <f>SUM(E26,F26)/P26</f>
        <v>0.2768361581920904</v>
      </c>
      <c r="U26" s="37">
        <f>LOG10(E26+F26)*I26</f>
        <v>11.194630160726627</v>
      </c>
      <c r="V26" s="37">
        <f>(L26/P26)*100</f>
        <v>0</v>
      </c>
      <c r="W26" s="37">
        <f>(M26/P26)*100</f>
        <v>0</v>
      </c>
      <c r="X26" s="37">
        <f>(N26/P26)*100</f>
        <v>0</v>
      </c>
      <c r="Y26" s="40">
        <f>(O26/P26)*100</f>
        <v>0</v>
      </c>
      <c r="Z26" s="37">
        <f>E26/F26</f>
        <v>5.125</v>
      </c>
      <c r="AA26" s="40">
        <f>(SUM(E26,F26)/(L26+0.1))/100</f>
        <v>19.6</v>
      </c>
      <c r="AB26" s="40">
        <f>(SUM(E26,F26)/(M26+0.1))/100</f>
        <v>19.6</v>
      </c>
      <c r="AC26" s="40">
        <f>(SUM(E26,F26)/(N26+0.1))/100</f>
        <v>19.6</v>
      </c>
      <c r="AD26" s="40">
        <f>(SUM(E26,F26)/(O26+0.1))/100</f>
        <v>19.6</v>
      </c>
    </row>
    <row r="27" ht="57">
      <c r="A27" s="34">
        <f>A26+1</f>
        <v>138</v>
      </c>
      <c r="B27" s="34" t="s">
        <v>186</v>
      </c>
      <c r="C27" s="35" t="s">
        <v>212</v>
      </c>
      <c r="D27" s="35" t="s">
        <v>131</v>
      </c>
      <c r="E27" s="12">
        <v>112</v>
      </c>
      <c r="F27" s="39">
        <v>15</v>
      </c>
      <c r="G27" s="12">
        <v>4.6</v>
      </c>
      <c r="H27" s="39">
        <v>4.5</v>
      </c>
      <c r="I27" s="12">
        <f>((G27*E27)+(H27*F27))/SUM(E27,F27)</f>
        <v>4.588188976377952</v>
      </c>
      <c r="J27" s="12">
        <v>1</v>
      </c>
      <c r="K27" s="40">
        <v>43</v>
      </c>
      <c r="L27" s="40">
        <v>0</v>
      </c>
      <c r="M27" s="40">
        <v>0</v>
      </c>
      <c r="N27" s="40">
        <v>0</v>
      </c>
      <c r="O27" s="40">
        <f>(L27*0.5)+(M27*0.4)+(N27*0.1)</f>
        <v>0</v>
      </c>
      <c r="P27" s="40">
        <v>920</v>
      </c>
      <c r="Q27" s="40">
        <f>ABS(G27-H27)</f>
        <v>0.09999999999999964</v>
      </c>
      <c r="R27" s="40">
        <f>ABS(G27-I27)</f>
        <v>0.011811023622047223</v>
      </c>
      <c r="S27" s="40">
        <f>ABS(H27-I27)</f>
        <v>0.08818897637795242</v>
      </c>
      <c r="T27" s="37">
        <f>SUM(E27,F27)/P27</f>
        <v>0.13804347826086957</v>
      </c>
      <c r="U27" s="37">
        <f>LOG10(E27+F27)*I27</f>
        <v>9.652649040953039</v>
      </c>
      <c r="V27" s="37">
        <f>(L27/P27)*100</f>
        <v>0</v>
      </c>
      <c r="W27" s="37">
        <f>(M27/P27)*100</f>
        <v>0</v>
      </c>
      <c r="X27" s="37">
        <f>(N27/P27)*100</f>
        <v>0</v>
      </c>
      <c r="Y27" s="40">
        <f>(O27/P27)*100</f>
        <v>0</v>
      </c>
      <c r="Z27" s="40">
        <f>E27/F27</f>
        <v>7.466666666666667</v>
      </c>
      <c r="AA27" s="40">
        <f>(SUM(E27,F27)/(L27+0.1))/100</f>
        <v>12.7</v>
      </c>
      <c r="AB27" s="40">
        <f>(SUM(E27,F27)/(M27+0.1))/100</f>
        <v>12.7</v>
      </c>
      <c r="AC27" s="40">
        <f>(SUM(E27,F27)/(N27+0.1))/100</f>
        <v>12.7</v>
      </c>
      <c r="AD27" s="40">
        <f>(SUM(E27,F27)/(O27+0.1))/100</f>
        <v>12.7</v>
      </c>
    </row>
    <row r="28" ht="44.25">
      <c r="A28" s="34">
        <f>A27+1</f>
        <v>139</v>
      </c>
      <c r="B28" s="34" t="s">
        <v>186</v>
      </c>
      <c r="C28" s="35" t="s">
        <v>213</v>
      </c>
      <c r="D28" s="35" t="s">
        <v>131</v>
      </c>
      <c r="E28" s="40">
        <v>68</v>
      </c>
      <c r="F28" s="39">
        <v>3</v>
      </c>
      <c r="G28" s="40">
        <v>4.6</v>
      </c>
      <c r="H28" s="39">
        <v>5</v>
      </c>
      <c r="I28" s="12">
        <f>((G28*E28)+(H28*F28))/SUM(E28,F28)</f>
        <v>4.616901408450704</v>
      </c>
      <c r="J28" s="12">
        <v>1</v>
      </c>
      <c r="K28" s="40">
        <v>85</v>
      </c>
      <c r="L28" s="40">
        <v>0</v>
      </c>
      <c r="M28" s="40">
        <v>0</v>
      </c>
      <c r="N28" s="40">
        <v>0</v>
      </c>
      <c r="O28" s="40">
        <f>(L28*0.5)+(M28*0.4)+(N28*0.1)</f>
        <v>0</v>
      </c>
      <c r="P28" s="40">
        <v>965</v>
      </c>
      <c r="Q28" s="40">
        <f>ABS(G28-H28)</f>
        <v>0.40000000000000036</v>
      </c>
      <c r="R28" s="40">
        <f>ABS(G28-I28)</f>
        <v>0.016901408450704203</v>
      </c>
      <c r="S28" s="40">
        <f>ABS(H28-I28)</f>
        <v>0.38309859154929615</v>
      </c>
      <c r="T28" s="37">
        <f>SUM(E28,F28)/P28</f>
        <v>0.07357512953367876</v>
      </c>
      <c r="U28" s="37">
        <f>LOG10(E28+F28)*I28</f>
        <v>8.547077277607222</v>
      </c>
      <c r="V28" s="37">
        <f>(L28/P28)*100</f>
        <v>0</v>
      </c>
      <c r="W28" s="37">
        <f>(M28/P28)*100</f>
        <v>0</v>
      </c>
      <c r="X28" s="37">
        <f>(N28/P28)*100</f>
        <v>0</v>
      </c>
      <c r="Y28" s="40">
        <f>(O28/P28)*100</f>
        <v>0</v>
      </c>
      <c r="Z28" s="37">
        <f>E28/F28</f>
        <v>22.666666666666668</v>
      </c>
      <c r="AA28" s="40">
        <f>(SUM(E28,F28)/(L28+0.1))/100</f>
        <v>7.1</v>
      </c>
      <c r="AB28" s="40">
        <f>(SUM(E28,F28)/(M28+0.1))/100</f>
        <v>7.1</v>
      </c>
      <c r="AC28" s="40">
        <f>(SUM(E28,F28)/(N28+0.1))/100</f>
        <v>7.1</v>
      </c>
      <c r="AD28" s="40">
        <f>(SUM(E28,F28)/(O28+0.1))/100</f>
        <v>7.1</v>
      </c>
    </row>
    <row r="29" ht="30.75">
      <c r="A29" s="34">
        <f>A28+1</f>
        <v>140</v>
      </c>
      <c r="B29" s="34" t="s">
        <v>186</v>
      </c>
      <c r="C29" s="36" t="s">
        <v>214</v>
      </c>
      <c r="D29" s="35" t="s">
        <v>131</v>
      </c>
      <c r="E29" s="40">
        <v>631</v>
      </c>
      <c r="F29" s="40">
        <v>65</v>
      </c>
      <c r="G29" s="40">
        <v>3.7</v>
      </c>
      <c r="H29" s="40">
        <v>2.6</v>
      </c>
      <c r="I29" s="12">
        <f>((G29*E29)+(H29*F29))/SUM(E29,F29)</f>
        <v>3.5972701149425292</v>
      </c>
      <c r="J29" s="12">
        <v>0</v>
      </c>
      <c r="K29" s="40">
        <v>0</v>
      </c>
      <c r="L29" s="40">
        <v>0</v>
      </c>
      <c r="M29" s="40">
        <v>25</v>
      </c>
      <c r="N29" s="40">
        <v>25</v>
      </c>
      <c r="O29" s="40">
        <f>(L29*0.5)+(M29*0.4)+(N29*0.1)</f>
        <v>12.5</v>
      </c>
      <c r="P29" s="40">
        <v>5780</v>
      </c>
      <c r="Q29" s="40">
        <f>ABS(G29-H29)</f>
        <v>1.1</v>
      </c>
      <c r="R29" s="40">
        <f>ABS(G29-I29)</f>
        <v>0.10272988505747094</v>
      </c>
      <c r="S29" s="40">
        <f>ABS(H29-I29)</f>
        <v>0.9972701149425292</v>
      </c>
      <c r="T29" s="37">
        <f>SUM(E29,F29)/P29</f>
        <v>0.12041522491349481</v>
      </c>
      <c r="U29" s="37">
        <f>LOG10(E29+F29)*I29</f>
        <v>10.225633266110583</v>
      </c>
      <c r="V29" s="37">
        <f>(L29/P29)*100</f>
        <v>0</v>
      </c>
      <c r="W29" s="37">
        <f>(M29/P29)*100</f>
        <v>0.43252595155709345</v>
      </c>
      <c r="X29" s="37">
        <f>(N29/P29)*100</f>
        <v>0.43252595155709345</v>
      </c>
      <c r="Y29" s="40">
        <f>(O29/P29)*100</f>
        <v>0.21626297577854672</v>
      </c>
      <c r="Z29" s="37">
        <f>E29/F29</f>
        <v>9.707692307692307</v>
      </c>
      <c r="AA29" s="40">
        <f>(SUM(E29,F29)/(L29+0.1))/100</f>
        <v>69.6</v>
      </c>
      <c r="AB29" s="40">
        <f>(SUM(E29,F29)/(M29+0.1))/100</f>
        <v>0.27729083665338644</v>
      </c>
      <c r="AC29" s="40">
        <f>(SUM(E29,F29)/(N29+0.1))/100</f>
        <v>0.27729083665338644</v>
      </c>
      <c r="AD29" s="40">
        <f>(SUM(E29,F29)/(O29+0.1))/100</f>
        <v>0.5523809523809524</v>
      </c>
    </row>
    <row r="30" ht="57">
      <c r="A30" s="34">
        <f>A29+1</f>
        <v>141</v>
      </c>
      <c r="B30" s="34" t="s">
        <v>186</v>
      </c>
      <c r="C30" s="35" t="s">
        <v>215</v>
      </c>
      <c r="D30" s="35" t="s">
        <v>131</v>
      </c>
      <c r="E30" s="40">
        <v>175</v>
      </c>
      <c r="F30" s="40">
        <v>2</v>
      </c>
      <c r="G30" s="40">
        <v>4.7</v>
      </c>
      <c r="H30" s="40">
        <v>3.5</v>
      </c>
      <c r="I30" s="12">
        <f>((G30*E30)+(H30*F30))/SUM(E30,F30)</f>
        <v>4.686440677966102</v>
      </c>
      <c r="J30" s="12">
        <v>0</v>
      </c>
      <c r="K30" s="40">
        <v>0</v>
      </c>
      <c r="L30" s="40">
        <v>0</v>
      </c>
      <c r="M30" s="40">
        <v>0</v>
      </c>
      <c r="N30" s="40">
        <v>0</v>
      </c>
      <c r="O30" s="40">
        <f>(L30*0.5)+(M30*0.4)+(N30*0.1)</f>
        <v>0</v>
      </c>
      <c r="P30" s="40">
        <v>887</v>
      </c>
      <c r="Q30" s="40">
        <f>ABS(G30-H30)</f>
        <v>1.2000000000000002</v>
      </c>
      <c r="R30" s="40">
        <f>ABS(G30-I30)</f>
        <v>0.013559322033898091</v>
      </c>
      <c r="S30" s="40">
        <f>ABS(H30-I30)</f>
        <v>1.186440677966102</v>
      </c>
      <c r="T30" s="37">
        <f>SUM(E30,F30)/P30</f>
        <v>0.1995490417136415</v>
      </c>
      <c r="U30" s="37">
        <f>LOG10(E30+F30)*I30</f>
        <v>10.5349933584583</v>
      </c>
      <c r="V30" s="37">
        <f>(L30/P30)*100</f>
        <v>0</v>
      </c>
      <c r="W30" s="37">
        <f>(M30/P30)*100</f>
        <v>0</v>
      </c>
      <c r="X30" s="37">
        <f>(N30/P30)*100</f>
        <v>0</v>
      </c>
      <c r="Y30" s="40">
        <f>(O30/P30)*100</f>
        <v>0</v>
      </c>
      <c r="Z30" s="37">
        <f>E30/F30</f>
        <v>87.5</v>
      </c>
      <c r="AA30" s="40">
        <f>(SUM(E30,F30)/(L30+0.1))/100</f>
        <v>17.7</v>
      </c>
      <c r="AB30" s="40">
        <f>(SUM(E30,F30)/(M30+0.1))/100</f>
        <v>17.7</v>
      </c>
      <c r="AC30" s="40">
        <f>(SUM(E30,F30)/(N30+0.1))/100</f>
        <v>17.7</v>
      </c>
      <c r="AD30" s="40">
        <f>(SUM(E30,F30)/(O30+0.1))/100</f>
        <v>17.7</v>
      </c>
    </row>
    <row r="31" ht="44.25">
      <c r="A31" s="34">
        <f>A30+1</f>
        <v>142</v>
      </c>
      <c r="B31" s="34" t="s">
        <v>186</v>
      </c>
      <c r="C31" s="35" t="s">
        <v>216</v>
      </c>
      <c r="D31" s="35" t="s">
        <v>131</v>
      </c>
      <c r="E31" s="40">
        <v>156</v>
      </c>
      <c r="F31" s="40">
        <v>207</v>
      </c>
      <c r="G31" s="40">
        <v>4.3</v>
      </c>
      <c r="H31" s="40">
        <v>4.3</v>
      </c>
      <c r="I31" s="12">
        <f>((G31*E31)+(H31*F31))/SUM(E31,F31)</f>
        <v>4.3</v>
      </c>
      <c r="J31" s="12">
        <v>1</v>
      </c>
      <c r="K31" s="40">
        <v>27</v>
      </c>
      <c r="L31" s="40">
        <v>0</v>
      </c>
      <c r="M31" s="40">
        <v>0</v>
      </c>
      <c r="N31" s="40">
        <v>0</v>
      </c>
      <c r="O31" s="40">
        <f>(L31*0.5)+(M31*0.4)+(N31*0.1)</f>
        <v>0</v>
      </c>
      <c r="P31" s="40">
        <v>989</v>
      </c>
      <c r="Q31" s="40">
        <f>ABS(G31-H31)</f>
        <v>0</v>
      </c>
      <c r="R31" s="40">
        <f>ABS(G31-I31)</f>
        <v>0</v>
      </c>
      <c r="S31" s="40">
        <f>ABS(H31-I31)</f>
        <v>0</v>
      </c>
      <c r="T31" s="37">
        <f>SUM(E31,F31)/P31</f>
        <v>0.36703741152679475</v>
      </c>
      <c r="U31" s="37">
        <f>LOG10(E31+F31)*I31</f>
        <v>11.007598487655283</v>
      </c>
      <c r="V31" s="37">
        <f>(L31/P31)*100</f>
        <v>0</v>
      </c>
      <c r="W31" s="37">
        <f>(M31/P31)*100</f>
        <v>0</v>
      </c>
      <c r="X31" s="37">
        <f>(N31/P31)*100</f>
        <v>0</v>
      </c>
      <c r="Y31" s="40">
        <f>(O31/P31)*100</f>
        <v>0</v>
      </c>
      <c r="Z31" s="37">
        <f>E31/F31</f>
        <v>0.7536231884057971</v>
      </c>
      <c r="AA31" s="40">
        <f>(SUM(E31,F31)/(L31+0.1))/100</f>
        <v>36.3</v>
      </c>
      <c r="AB31" s="40">
        <f>(SUM(E31,F31)/(M31+0.1))/100</f>
        <v>36.3</v>
      </c>
      <c r="AC31" s="40">
        <f>(SUM(E31,F31)/(N31+0.1))/100</f>
        <v>36.3</v>
      </c>
      <c r="AD31" s="40">
        <f>(SUM(E31,F31)/(O31+0.1))/100</f>
        <v>36.3</v>
      </c>
    </row>
  </sheetData>
  <pageMargins left="0.699999988079071" right="0.699999988079071" top="0.75" bottom="0.75" header="0.30000001192092896" footer="0.30000001192092896"/>
  <pageSetup orientation="portrait"/>
  <legacyDrawing r:id="rId2"/>
</worksheet>
</file>

<file path=xl/worksheets/sheet16.xml><?xml version="1.0" encoding="utf-8"?>
<worksheet xmlns="http://schemas.openxmlformats.org/spreadsheetml/2006/main" xmlns:r="http://schemas.openxmlformats.org/officeDocument/2006/relationships">
  <dimension ref="A1:BE46"/>
  <sheetViews>
    <sheetView zoomScale="85" zoomScaleNormal="85" workbookViewId="0">
      <selection activeCell="N40" sqref="N40"/>
    </sheetView>
  </sheetViews>
  <sheetFormatPr defaultColWidth="11.421875" defaultRowHeight="15"/>
  <sheetData>
    <row r="1">
      <c r="A1" s="9" t="s">
        <v>72</v>
      </c>
      <c r="B1" s="9" t="s">
        <v>73</v>
      </c>
      <c r="C1" s="9" t="s">
        <v>74</v>
      </c>
      <c r="D1" s="9" t="s">
        <v>75</v>
      </c>
      <c r="E1" s="9" t="s">
        <v>76</v>
      </c>
      <c r="F1" s="9" t="s">
        <v>77</v>
      </c>
      <c r="G1" s="9" t="s">
        <v>78</v>
      </c>
      <c r="H1" s="9" t="s">
        <v>79</v>
      </c>
      <c r="I1" s="9" t="s">
        <v>80</v>
      </c>
      <c r="J1" s="9" t="s">
        <v>81</v>
      </c>
      <c r="K1" s="9" t="s">
        <v>82</v>
      </c>
      <c r="L1" s="9" t="s">
        <v>83</v>
      </c>
      <c r="M1" s="9" t="s">
        <v>84</v>
      </c>
      <c r="N1" s="9" t="s">
        <v>85</v>
      </c>
      <c r="O1" s="9" t="s">
        <v>86</v>
      </c>
      <c r="P1" s="9" t="s">
        <v>87</v>
      </c>
      <c r="Q1" s="9" t="s">
        <v>88</v>
      </c>
      <c r="R1" s="9" t="s">
        <v>89</v>
      </c>
      <c r="S1" s="9" t="s">
        <v>90</v>
      </c>
      <c r="T1" s="9" t="s">
        <v>91</v>
      </c>
      <c r="U1" s="9" t="s">
        <v>92</v>
      </c>
      <c r="V1" s="9" t="s">
        <v>93</v>
      </c>
      <c r="W1" s="9" t="s">
        <v>94</v>
      </c>
      <c r="X1" s="9" t="s">
        <v>95</v>
      </c>
      <c r="Y1" s="9" t="s">
        <v>96</v>
      </c>
      <c r="Z1" s="9" t="s">
        <v>97</v>
      </c>
      <c r="AA1" s="9" t="s">
        <v>98</v>
      </c>
      <c r="AB1" s="9" t="s">
        <v>99</v>
      </c>
      <c r="AC1" s="9" t="s">
        <v>100</v>
      </c>
      <c r="AD1" s="9" t="s">
        <v>101</v>
      </c>
    </row>
    <row r="2">
      <c r="A2" s="10">
        <f>'Apartamentos Completo'!A2</f>
        <v>113</v>
      </c>
      <c r="B2" t="str">
        <f>'Apartamentos Completo'!B2</f>
        <v>Apartamento</v>
      </c>
      <c r="C2" t="str">
        <f>'Apartamentos Completo'!C2</f>
        <v>Aguilas5 Sevilla Suites </v>
      </c>
      <c r="D2" t="str">
        <f>'Apartamentos Completo'!D2</f>
        <v>Tripadvisor</v>
      </c>
      <c r="E2" s="9">
        <f>'Apartamentos Completo'!E2</f>
        <v>155</v>
      </c>
      <c r="F2" s="9">
        <f>'Apartamentos Completo'!F2</f>
        <v>677</v>
      </c>
      <c r="G2" s="9">
        <f>'Apartamentos Completo'!G2</f>
        <v>4.9</v>
      </c>
      <c r="H2" s="9">
        <f>'Apartamentos Completo'!H2</f>
        <v>5</v>
      </c>
      <c r="I2" s="9">
        <f>'Apartamentos Completo'!I2</f>
        <v>4.9813701923076925</v>
      </c>
      <c r="J2" s="9">
        <f>'Apartamentos Completo'!J2</f>
        <v>1</v>
      </c>
      <c r="K2" s="9">
        <f>'Apartamentos Completo'!K2</f>
        <v>1</v>
      </c>
      <c r="L2" s="9">
        <f>'Apartamentos Completo'!L2</f>
        <v>0</v>
      </c>
      <c r="M2" s="9">
        <f>'Apartamentos Completo'!M2</f>
        <v>0</v>
      </c>
      <c r="N2" s="9">
        <f>'Apartamentos Completo'!N2</f>
        <v>0</v>
      </c>
      <c r="O2" s="9">
        <f>'Apartamentos Completo'!O2</f>
        <v>0</v>
      </c>
      <c r="P2" s="9">
        <f>'Apartamentos Completo'!P2</f>
        <v>509</v>
      </c>
      <c r="Q2" s="9">
        <f>'Apartamentos Completo'!Q2</f>
        <v>0.09999999999999964</v>
      </c>
      <c r="R2" s="9">
        <f>'Apartamentos Completo'!R2</f>
        <v>0.018629807692307487</v>
      </c>
      <c r="S2" s="9">
        <f>'Apartamentos Completo'!S2</f>
        <v>0.018629807692307487</v>
      </c>
      <c r="T2" s="9">
        <f>'Apartamentos Completo'!T2</f>
        <v>1.6345776031434185</v>
      </c>
      <c r="U2" s="9">
        <f>'Apartamentos Completo'!U2</f>
        <v>14.546215295447002</v>
      </c>
      <c r="V2" s="9">
        <f>'Apartamentos Completo'!V2</f>
        <v>0</v>
      </c>
      <c r="W2" s="9">
        <f>'Apartamentos Completo'!W2</f>
        <v>0</v>
      </c>
      <c r="X2" s="9">
        <f>'Apartamentos Completo'!X2</f>
        <v>0</v>
      </c>
      <c r="Y2" s="9">
        <f>'Apartamentos Completo'!Y2</f>
        <v>0</v>
      </c>
      <c r="Z2" s="9">
        <f>'Apartamentos Completo'!Z2</f>
        <v>0.22895125553914328</v>
      </c>
      <c r="AA2" s="9">
        <f>'Apartamentos Completo'!AA2</f>
        <v>83.2</v>
      </c>
      <c r="AB2" s="9">
        <f>'Apartamentos Completo'!AB2</f>
        <v>83.2</v>
      </c>
      <c r="AC2" s="9">
        <f>'Apartamentos Completo'!AC2</f>
        <v>83.2</v>
      </c>
      <c r="AD2" s="9">
        <f>'Apartamentos Completo'!AD2</f>
        <v>83.2</v>
      </c>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row>
    <row r="3">
      <c r="A3" s="10">
        <f>'Apartamentos Completo'!A3</f>
        <v>114</v>
      </c>
      <c r="B3" t="str">
        <f>'Apartamentos Completo'!B3</f>
        <v>Apartamento</v>
      </c>
      <c r="C3" t="str">
        <f>'Apartamentos Completo'!C3</f>
        <v>Vincci Molviedro Suites Apartments </v>
      </c>
      <c r="D3" t="str">
        <f>'Apartamentos Completo'!D3</f>
        <v>Tripadvisor</v>
      </c>
      <c r="E3" s="9">
        <f>'Apartamentos Completo'!E3</f>
        <v>77</v>
      </c>
      <c r="F3" s="9">
        <f>'Apartamentos Completo'!F3</f>
        <v>106</v>
      </c>
      <c r="G3" s="9">
        <f>'Apartamentos Completo'!G3</f>
        <v>4.8</v>
      </c>
      <c r="H3" s="9">
        <f>'Apartamentos Completo'!H3</f>
        <v>4.9</v>
      </c>
      <c r="I3" s="9">
        <f>'Apartamentos Completo'!I3</f>
        <v>4.85792349726776</v>
      </c>
      <c r="J3" s="9">
        <f>'Apartamentos Completo'!J3</f>
        <v>1</v>
      </c>
      <c r="K3" s="9">
        <f>'Apartamentos Completo'!K3</f>
        <v>2</v>
      </c>
      <c r="L3" s="9">
        <f>'Apartamentos Completo'!L3</f>
        <v>0</v>
      </c>
      <c r="M3" s="9">
        <f>'Apartamentos Completo'!M3</f>
        <v>0</v>
      </c>
      <c r="N3" s="9">
        <f>'Apartamentos Completo'!N3</f>
        <v>0</v>
      </c>
      <c r="O3" s="9">
        <f>'Apartamentos Completo'!O3</f>
        <v>0</v>
      </c>
      <c r="P3" s="9">
        <f>'Apartamentos Completo'!P3</f>
        <v>500</v>
      </c>
      <c r="Q3" s="9">
        <f>'Apartamentos Completo'!Q3</f>
        <v>0.10000000000000053</v>
      </c>
      <c r="R3" s="9">
        <f>'Apartamentos Completo'!R3</f>
        <v>0.05792349726776003</v>
      </c>
      <c r="S3" s="9">
        <f>'Apartamentos Completo'!S3</f>
        <v>0.042076502732240506</v>
      </c>
      <c r="T3" s="9">
        <f>'Apartamentos Completo'!T3</f>
        <v>0.366</v>
      </c>
      <c r="U3" s="9">
        <f>'Apartamentos Completo'!U3</f>
        <v>10.990814310220502</v>
      </c>
      <c r="V3" s="9">
        <f>'Apartamentos Completo'!V3</f>
        <v>0</v>
      </c>
      <c r="W3" s="9">
        <f>'Apartamentos Completo'!W3</f>
        <v>0</v>
      </c>
      <c r="X3" s="9">
        <f>'Apartamentos Completo'!X3</f>
        <v>0</v>
      </c>
      <c r="Y3" s="9">
        <f>'Apartamentos Completo'!Y3</f>
        <v>0</v>
      </c>
      <c r="Z3" s="9">
        <f>'Apartamentos Completo'!Z3</f>
        <v>0.7264150943396226</v>
      </c>
      <c r="AA3" s="9">
        <f>'Apartamentos Completo'!AA3</f>
        <v>18.3</v>
      </c>
      <c r="AB3" s="9">
        <f>'Apartamentos Completo'!AB3</f>
        <v>18.3</v>
      </c>
      <c r="AC3" s="9">
        <f>'Apartamentos Completo'!AC3</f>
        <v>18.3</v>
      </c>
      <c r="AD3" s="9">
        <f>'Apartamentos Completo'!AD3</f>
        <v>18.3</v>
      </c>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row>
    <row r="4">
      <c r="A4" s="10">
        <f>'Apartamentos Completo'!A4</f>
        <v>115</v>
      </c>
      <c r="B4" t="str">
        <f>'Apartamentos Completo'!B4</f>
        <v>Apartamento</v>
      </c>
      <c r="C4" t="str">
        <f>'Apartamentos Completo'!C4</f>
        <v>Mylu Suites by Puerta Catedral </v>
      </c>
      <c r="D4" t="str">
        <f>'Apartamentos Completo'!D4</f>
        <v>Tripadvisor</v>
      </c>
      <c r="E4" s="9">
        <f>'Apartamentos Completo'!E4</f>
        <v>22</v>
      </c>
      <c r="F4" s="9">
        <f>'Apartamentos Completo'!F4</f>
        <v>142</v>
      </c>
      <c r="G4" s="9">
        <f>'Apartamentos Completo'!G4</f>
        <v>4.9</v>
      </c>
      <c r="H4" s="9">
        <f>'Apartamentos Completo'!H4</f>
        <v>4.9</v>
      </c>
      <c r="I4" s="9">
        <f>'Apartamentos Completo'!I4</f>
        <v>4.900000000000001</v>
      </c>
      <c r="J4" s="9">
        <f>'Apartamentos Completo'!J4</f>
        <v>1</v>
      </c>
      <c r="K4" s="9">
        <f>'Apartamentos Completo'!K4</f>
        <v>3</v>
      </c>
      <c r="L4" s="9">
        <f>'Apartamentos Completo'!L4</f>
        <v>0</v>
      </c>
      <c r="M4" s="9">
        <f>'Apartamentos Completo'!M4</f>
        <v>0</v>
      </c>
      <c r="N4" s="9">
        <f>'Apartamentos Completo'!N4</f>
        <v>0</v>
      </c>
      <c r="O4" s="9">
        <f>'Apartamentos Completo'!O4</f>
        <v>0</v>
      </c>
      <c r="P4" s="9">
        <f>'Apartamentos Completo'!P4</f>
        <v>535</v>
      </c>
      <c r="Q4" s="9">
        <f>'Apartamentos Completo'!Q4</f>
        <v>0</v>
      </c>
      <c r="R4" s="9">
        <f>'Apartamentos Completo'!R4</f>
        <v>8.881784197001252E-16</v>
      </c>
      <c r="S4" s="9">
        <f>'Apartamentos Completo'!S4</f>
        <v>8.881784197001252E-16</v>
      </c>
      <c r="T4" s="9">
        <f>'Apartamentos Completo'!T4</f>
        <v>0.30654205607476637</v>
      </c>
      <c r="U4" s="9">
        <f>'Apartamentos Completo'!U4</f>
        <v>10.852734855433722</v>
      </c>
      <c r="V4" s="9">
        <f>'Apartamentos Completo'!V4</f>
        <v>0</v>
      </c>
      <c r="W4" s="9">
        <f>'Apartamentos Completo'!W4</f>
        <v>0</v>
      </c>
      <c r="X4" s="9">
        <f>'Apartamentos Completo'!X4</f>
        <v>0</v>
      </c>
      <c r="Y4" s="9">
        <f>'Apartamentos Completo'!Y4</f>
        <v>0</v>
      </c>
      <c r="Z4" s="9">
        <f>'Apartamentos Completo'!Z4</f>
        <v>0.15492957746478872</v>
      </c>
      <c r="AA4" s="9">
        <f>'Apartamentos Completo'!AA4</f>
        <v>16.4</v>
      </c>
      <c r="AB4" s="9">
        <f>'Apartamentos Completo'!AB4</f>
        <v>16.4</v>
      </c>
      <c r="AC4" s="9">
        <f>'Apartamentos Completo'!AC4</f>
        <v>16.4</v>
      </c>
      <c r="AD4" s="9">
        <f>'Apartamentos Completo'!AD4</f>
        <v>16.4</v>
      </c>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row>
    <row r="5">
      <c r="A5" s="10">
        <f>'Apartamentos Completo'!A5</f>
        <v>116</v>
      </c>
      <c r="B5" t="str">
        <f>'Apartamentos Completo'!B5</f>
        <v>Apartamento</v>
      </c>
      <c r="C5" t="str">
        <f>'Apartamentos Completo'!C5</f>
        <v>Suites Murillo Alcázar </v>
      </c>
      <c r="D5" t="str">
        <f>'Apartamentos Completo'!D5</f>
        <v>Tripadvisor</v>
      </c>
      <c r="E5" s="9">
        <f>'Apartamentos Completo'!E5</f>
        <v>81</v>
      </c>
      <c r="F5" s="9">
        <f>'Apartamentos Completo'!F5</f>
        <v>312</v>
      </c>
      <c r="G5" s="9">
        <f>'Apartamentos Completo'!G5</f>
        <v>4.6</v>
      </c>
      <c r="H5" s="9">
        <f>'Apartamentos Completo'!H5</f>
        <v>4.8</v>
      </c>
      <c r="I5" s="9">
        <f>'Apartamentos Completo'!I5</f>
        <v>4.758778625954198</v>
      </c>
      <c r="J5" s="9">
        <f>'Apartamentos Completo'!J5</f>
        <v>1</v>
      </c>
      <c r="K5" s="9">
        <f>'Apartamentos Completo'!K5</f>
        <v>4</v>
      </c>
      <c r="L5" s="9">
        <f>'Apartamentos Completo'!L5</f>
        <v>0</v>
      </c>
      <c r="M5" s="9">
        <f>'Apartamentos Completo'!M5</f>
        <v>0</v>
      </c>
      <c r="N5" s="9">
        <f>'Apartamentos Completo'!N5</f>
        <v>0</v>
      </c>
      <c r="O5" s="9">
        <f>'Apartamentos Completo'!O5</f>
        <v>0</v>
      </c>
      <c r="P5" s="9">
        <f>'Apartamentos Completo'!P5</f>
        <v>212</v>
      </c>
      <c r="Q5" s="9">
        <f>'Apartamentos Completo'!Q5</f>
        <v>0.20000000000000018</v>
      </c>
      <c r="R5" s="9">
        <f>'Apartamentos Completo'!R5</f>
        <v>0.15877862595419856</v>
      </c>
      <c r="S5" s="9">
        <f>'Apartamentos Completo'!S5</f>
        <v>0.04122137404580162</v>
      </c>
      <c r="T5" s="9">
        <f>'Apartamentos Completo'!T5</f>
        <v>1.8537735849056605</v>
      </c>
      <c r="U5" s="9">
        <f>'Apartamentos Completo'!U5</f>
        <v>12.346139816061381</v>
      </c>
      <c r="V5" s="9">
        <f>'Apartamentos Completo'!V5</f>
        <v>0</v>
      </c>
      <c r="W5" s="9">
        <f>'Apartamentos Completo'!W5</f>
        <v>0</v>
      </c>
      <c r="X5" s="9">
        <f>'Apartamentos Completo'!X5</f>
        <v>0</v>
      </c>
      <c r="Y5" s="9">
        <f>'Apartamentos Completo'!Y5</f>
        <v>0</v>
      </c>
      <c r="Z5" s="9">
        <f>'Apartamentos Completo'!Z5</f>
        <v>0.25961538461538464</v>
      </c>
      <c r="AA5" s="9">
        <f>'Apartamentos Completo'!AA5</f>
        <v>39.3</v>
      </c>
      <c r="AB5" s="9">
        <f>'Apartamentos Completo'!AB5</f>
        <v>39.3</v>
      </c>
      <c r="AC5" s="9">
        <f>'Apartamentos Completo'!AC5</f>
        <v>39.3</v>
      </c>
      <c r="AD5" s="9">
        <f>'Apartamentos Completo'!AD5</f>
        <v>39.3</v>
      </c>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row>
    <row r="6">
      <c r="A6" s="10">
        <f>'Apartamentos Completo'!A6</f>
        <v>117</v>
      </c>
      <c r="B6" t="str">
        <f>'Apartamentos Completo'!B6</f>
        <v>Apartamento</v>
      </c>
      <c r="C6" t="str">
        <f>'Apartamentos Completo'!C6</f>
        <v>Puerta Catedral Apartments </v>
      </c>
      <c r="D6" t="str">
        <f>'Apartamentos Completo'!D6</f>
        <v>Tripadvisor</v>
      </c>
      <c r="E6" s="9">
        <f>'Apartamentos Completo'!E6</f>
        <v>30</v>
      </c>
      <c r="F6" s="9">
        <f>'Apartamentos Completo'!F6</f>
        <v>469</v>
      </c>
      <c r="G6" s="9">
        <f>'Apartamentos Completo'!G6</f>
        <v>4.7</v>
      </c>
      <c r="H6" s="9">
        <f>'Apartamentos Completo'!H6</f>
        <v>4.6</v>
      </c>
      <c r="I6" s="9">
        <f>'Apartamentos Completo'!I6</f>
        <v>4.606012024048096</v>
      </c>
      <c r="J6" s="9">
        <f>'Apartamentos Completo'!J6</f>
        <v>1</v>
      </c>
      <c r="K6" s="9">
        <f>'Apartamentos Completo'!K6</f>
        <v>5</v>
      </c>
      <c r="L6" s="9">
        <f>'Apartamentos Completo'!L6</f>
        <v>0</v>
      </c>
      <c r="M6" s="9">
        <f>'Apartamentos Completo'!M6</f>
        <v>0</v>
      </c>
      <c r="N6" s="9">
        <f>'Apartamentos Completo'!N6</f>
        <v>0</v>
      </c>
      <c r="O6" s="9">
        <f>'Apartamentos Completo'!O6</f>
        <v>0</v>
      </c>
      <c r="P6" s="9">
        <f>'Apartamentos Completo'!P6</f>
        <v>97</v>
      </c>
      <c r="Q6" s="9">
        <f>'Apartamentos Completo'!Q6</f>
        <v>0.10000000000000053</v>
      </c>
      <c r="R6" s="9">
        <f>'Apartamentos Completo'!R6</f>
        <v>0.09398797595190445</v>
      </c>
      <c r="S6" s="9">
        <f>'Apartamentos Completo'!S6</f>
        <v>0.006012024048096087</v>
      </c>
      <c r="T6" s="9">
        <f>'Apartamentos Completo'!T6</f>
        <v>5.144329896907217</v>
      </c>
      <c r="U6" s="9">
        <f>'Apartamentos Completo'!U6</f>
        <v>12.427483555232062</v>
      </c>
      <c r="V6" s="9">
        <f>'Apartamentos Completo'!V6</f>
        <v>0</v>
      </c>
      <c r="W6" s="9">
        <f>'Apartamentos Completo'!W6</f>
        <v>0</v>
      </c>
      <c r="X6" s="9">
        <f>'Apartamentos Completo'!X6</f>
        <v>0</v>
      </c>
      <c r="Y6" s="9">
        <f>'Apartamentos Completo'!Y6</f>
        <v>0</v>
      </c>
      <c r="Z6" s="9">
        <f>'Apartamentos Completo'!Z6</f>
        <v>0.06396588486140725</v>
      </c>
      <c r="AA6" s="9">
        <f>'Apartamentos Completo'!AA6</f>
        <v>49.9</v>
      </c>
      <c r="AB6" s="9">
        <f>'Apartamentos Completo'!AB6</f>
        <v>49.9</v>
      </c>
      <c r="AC6" s="9">
        <f>'Apartamentos Completo'!AC6</f>
        <v>49.9</v>
      </c>
      <c r="AD6" s="9">
        <f>'Apartamentos Completo'!AD6</f>
        <v>49.9</v>
      </c>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row>
    <row r="7">
      <c r="A7" s="10">
        <f>'Apartamentos Completo'!A7</f>
        <v>118</v>
      </c>
      <c r="B7" t="str">
        <f>'Apartamentos Completo'!B7</f>
        <v>Apartamento</v>
      </c>
      <c r="C7" t="str">
        <f>'Apartamentos Completo'!C7</f>
        <v>Suites Murillo Plaza de Santa Cruz </v>
      </c>
      <c r="D7" t="str">
        <f>'Apartamentos Completo'!D7</f>
        <v>Tripadvisor</v>
      </c>
      <c r="E7" s="9">
        <f>'Apartamentos Completo'!E7</f>
        <v>188</v>
      </c>
      <c r="F7" s="9">
        <f>'Apartamentos Completo'!F7</f>
        <v>249</v>
      </c>
      <c r="G7" s="9">
        <f>'Apartamentos Completo'!G7</f>
        <v>4.7</v>
      </c>
      <c r="H7" s="9">
        <f>'Apartamentos Completo'!H7</f>
        <v>4.8</v>
      </c>
      <c r="I7" s="9">
        <f>'Apartamentos Completo'!I7</f>
        <v>4.7569794050343255</v>
      </c>
      <c r="J7" s="9">
        <f>'Apartamentos Completo'!J7</f>
        <v>1</v>
      </c>
      <c r="K7" s="9">
        <f>'Apartamentos Completo'!K7</f>
        <v>6</v>
      </c>
      <c r="L7" s="9">
        <f>'Apartamentos Completo'!L7</f>
        <v>0</v>
      </c>
      <c r="M7" s="9">
        <f>'Apartamentos Completo'!M7</f>
        <v>0</v>
      </c>
      <c r="N7" s="9">
        <f>'Apartamentos Completo'!N7</f>
        <v>0</v>
      </c>
      <c r="O7" s="9">
        <f>'Apartamentos Completo'!O7</f>
        <v>0</v>
      </c>
      <c r="P7" s="9">
        <f>'Apartamentos Completo'!P7</f>
        <v>374</v>
      </c>
      <c r="Q7" s="9">
        <f>'Apartamentos Completo'!Q7</f>
        <v>0.09999999999999964</v>
      </c>
      <c r="R7" s="9">
        <f>'Apartamentos Completo'!R7</f>
        <v>0.0569794050343253</v>
      </c>
      <c r="S7" s="9">
        <f>'Apartamentos Completo'!S7</f>
        <v>0.04302059496567434</v>
      </c>
      <c r="T7" s="9">
        <f>'Apartamentos Completo'!T7</f>
        <v>1.1684491978609626</v>
      </c>
      <c r="U7" s="9">
        <f>'Apartamentos Completo'!U7</f>
        <v>12.56071581504374</v>
      </c>
      <c r="V7" s="9">
        <f>'Apartamentos Completo'!V7</f>
        <v>0</v>
      </c>
      <c r="W7" s="9">
        <f>'Apartamentos Completo'!W7</f>
        <v>0</v>
      </c>
      <c r="X7" s="9">
        <f>'Apartamentos Completo'!X7</f>
        <v>0</v>
      </c>
      <c r="Y7" s="9">
        <f>'Apartamentos Completo'!Y7</f>
        <v>0</v>
      </c>
      <c r="Z7" s="9">
        <f>'Apartamentos Completo'!Z7</f>
        <v>0.7550200803212851</v>
      </c>
      <c r="AA7" s="9">
        <f>'Apartamentos Completo'!AA7</f>
        <v>43.7</v>
      </c>
      <c r="AB7" s="9">
        <f>'Apartamentos Completo'!AB7</f>
        <v>43.7</v>
      </c>
      <c r="AC7" s="9">
        <f>'Apartamentos Completo'!AC7</f>
        <v>43.7</v>
      </c>
      <c r="AD7" s="9">
        <f>'Apartamentos Completo'!AD7</f>
        <v>43.7</v>
      </c>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row>
    <row r="8">
      <c r="A8" s="10">
        <f>'Apartamentos Completo'!A8</f>
        <v>119</v>
      </c>
      <c r="B8" t="str">
        <f>'Apartamentos Completo'!B8</f>
        <v>Apartamento</v>
      </c>
      <c r="C8" t="str">
        <f>'Apartamentos Completo'!C8</f>
        <v>Suites Murillo Catedral </v>
      </c>
      <c r="D8" t="str">
        <f>'Apartamentos Completo'!D8</f>
        <v>Tripadvisor</v>
      </c>
      <c r="E8" s="9">
        <f>'Apartamentos Completo'!E8</f>
        <v>179</v>
      </c>
      <c r="F8" s="9">
        <f>'Apartamentos Completo'!F8</f>
        <v>569</v>
      </c>
      <c r="G8" s="9">
        <f>'Apartamentos Completo'!G8</f>
        <v>4.6</v>
      </c>
      <c r="H8" s="9">
        <f>'Apartamentos Completo'!H8</f>
        <v>4.7</v>
      </c>
      <c r="I8" s="9">
        <f>'Apartamentos Completo'!I8</f>
        <v>4.676069518716578</v>
      </c>
      <c r="J8" s="9">
        <f>'Apartamentos Completo'!J8</f>
        <v>1</v>
      </c>
      <c r="K8" s="9">
        <f>'Apartamentos Completo'!K8</f>
        <v>7</v>
      </c>
      <c r="L8" s="9">
        <f>'Apartamentos Completo'!L8</f>
        <v>0</v>
      </c>
      <c r="M8" s="9">
        <f>'Apartamentos Completo'!M8</f>
        <v>0</v>
      </c>
      <c r="N8" s="9">
        <f>'Apartamentos Completo'!N8</f>
        <v>0</v>
      </c>
      <c r="O8" s="9">
        <f>'Apartamentos Completo'!O8</f>
        <v>0</v>
      </c>
      <c r="P8" s="9">
        <f>'Apartamentos Completo'!P8</f>
        <v>158</v>
      </c>
      <c r="Q8" s="9">
        <f>'Apartamentos Completo'!Q8</f>
        <v>0.10000000000000053</v>
      </c>
      <c r="R8" s="9">
        <f>'Apartamentos Completo'!R8</f>
        <v>0.07606951871657852</v>
      </c>
      <c r="S8" s="9">
        <f>'Apartamentos Completo'!S8</f>
        <v>0.02393048128342201</v>
      </c>
      <c r="T8" s="9">
        <f>'Apartamentos Completo'!T8</f>
        <v>4.734177215189874</v>
      </c>
      <c r="U8" s="9">
        <f>'Apartamentos Completo'!U8</f>
        <v>13.438563661564878</v>
      </c>
      <c r="V8" s="9">
        <f>'Apartamentos Completo'!V8</f>
        <v>0</v>
      </c>
      <c r="W8" s="9">
        <f>'Apartamentos Completo'!W8</f>
        <v>0</v>
      </c>
      <c r="X8" s="9">
        <f>'Apartamentos Completo'!X8</f>
        <v>0</v>
      </c>
      <c r="Y8" s="9">
        <f>'Apartamentos Completo'!Y8</f>
        <v>0</v>
      </c>
      <c r="Z8" s="9">
        <f>'Apartamentos Completo'!Z8</f>
        <v>0.3145869947275923</v>
      </c>
      <c r="AA8" s="9">
        <f>'Apartamentos Completo'!AA8</f>
        <v>74.8</v>
      </c>
      <c r="AB8" s="9">
        <f>'Apartamentos Completo'!AB8</f>
        <v>74.8</v>
      </c>
      <c r="AC8" s="9">
        <f>'Apartamentos Completo'!AC8</f>
        <v>74.8</v>
      </c>
      <c r="AD8" s="9">
        <f>'Apartamentos Completo'!AD8</f>
        <v>74.8</v>
      </c>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row>
    <row r="9">
      <c r="A9" s="10">
        <f>'Apartamentos Completo'!A9</f>
        <v>120</v>
      </c>
      <c r="B9" t="str">
        <f>'Apartamentos Completo'!B9</f>
        <v>Apartamento</v>
      </c>
      <c r="C9" t="str">
        <f>'Apartamentos Completo'!C9</f>
        <v>Suites Sevilla Plaza </v>
      </c>
      <c r="D9" t="str">
        <f>'Apartamentos Completo'!D9</f>
        <v>Tripadvisor</v>
      </c>
      <c r="E9" s="9">
        <f>'Apartamentos Completo'!E9</f>
        <v>241</v>
      </c>
      <c r="F9" s="9">
        <f>'Apartamentos Completo'!F9</f>
        <v>443</v>
      </c>
      <c r="G9" s="9">
        <f>'Apartamentos Completo'!G9</f>
        <v>4.6</v>
      </c>
      <c r="H9" s="9">
        <f>'Apartamentos Completo'!H9</f>
        <v>4.6</v>
      </c>
      <c r="I9" s="9">
        <f>'Apartamentos Completo'!I9</f>
        <v>4.6</v>
      </c>
      <c r="J9" s="9">
        <f>'Apartamentos Completo'!J9</f>
        <v>1</v>
      </c>
      <c r="K9" s="9">
        <f>'Apartamentos Completo'!K9</f>
        <v>8</v>
      </c>
      <c r="L9" s="9">
        <f>'Apartamentos Completo'!L9</f>
        <v>0</v>
      </c>
      <c r="M9" s="9">
        <f>'Apartamentos Completo'!M9</f>
        <v>0</v>
      </c>
      <c r="N9" s="9">
        <f>'Apartamentos Completo'!N9</f>
        <v>0</v>
      </c>
      <c r="O9" s="9">
        <f>'Apartamentos Completo'!O9</f>
        <v>0</v>
      </c>
      <c r="P9" s="9">
        <f>'Apartamentos Completo'!P9</f>
        <v>406</v>
      </c>
      <c r="Q9" s="9">
        <f>'Apartamentos Completo'!Q9</f>
        <v>0</v>
      </c>
      <c r="R9" s="9">
        <f>'Apartamentos Completo'!R9</f>
        <v>0</v>
      </c>
      <c r="S9" s="9">
        <f>'Apartamentos Completo'!S9</f>
        <v>0</v>
      </c>
      <c r="T9" s="9">
        <f>'Apartamentos Completo'!T9</f>
        <v>1.6847290640394088</v>
      </c>
      <c r="U9" s="9">
        <f>'Apartamentos Completo'!U9</f>
        <v>13.041258067912533</v>
      </c>
      <c r="V9" s="9">
        <f>'Apartamentos Completo'!V9</f>
        <v>0</v>
      </c>
      <c r="W9" s="9">
        <f>'Apartamentos Completo'!W9</f>
        <v>0</v>
      </c>
      <c r="X9" s="9">
        <f>'Apartamentos Completo'!X9</f>
        <v>0</v>
      </c>
      <c r="Y9" s="9">
        <f>'Apartamentos Completo'!Y9</f>
        <v>0</v>
      </c>
      <c r="Z9" s="9">
        <f>'Apartamentos Completo'!Z9</f>
        <v>0.5440180586907449</v>
      </c>
      <c r="AA9" s="9">
        <f>'Apartamentos Completo'!AA9</f>
        <v>68.4</v>
      </c>
      <c r="AB9" s="9">
        <f>'Apartamentos Completo'!AB9</f>
        <v>68.4</v>
      </c>
      <c r="AC9" s="9">
        <f>'Apartamentos Completo'!AC9</f>
        <v>68.4</v>
      </c>
      <c r="AD9" s="9">
        <f>'Apartamentos Completo'!AD9</f>
        <v>68.4</v>
      </c>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row>
    <row r="10">
      <c r="A10" s="10">
        <f>'Apartamentos Completo'!A10</f>
        <v>121</v>
      </c>
      <c r="B10" t="str">
        <f>'Apartamentos Completo'!B10</f>
        <v>Apartamento</v>
      </c>
      <c r="C10" t="str">
        <f>'Apartamentos Completo'!C10</f>
        <v>Puerta Catedral Suites </v>
      </c>
      <c r="D10" t="str">
        <f>'Apartamentos Completo'!D10</f>
        <v>Tripadvisor</v>
      </c>
      <c r="E10" s="9">
        <f>'Apartamentos Completo'!E10</f>
        <v>77</v>
      </c>
      <c r="F10" s="9">
        <f>'Apartamentos Completo'!F10</f>
        <v>274</v>
      </c>
      <c r="G10" s="9">
        <f>'Apartamentos Completo'!G10</f>
        <v>4.8</v>
      </c>
      <c r="H10" s="9">
        <f>'Apartamentos Completo'!H10</f>
        <v>4.6</v>
      </c>
      <c r="I10" s="9">
        <f>'Apartamentos Completo'!I10</f>
        <v>4.643874643874644</v>
      </c>
      <c r="J10" s="9">
        <f>'Apartamentos Completo'!J10</f>
        <v>1</v>
      </c>
      <c r="K10" s="9">
        <f>'Apartamentos Completo'!K10</f>
        <v>9</v>
      </c>
      <c r="L10" s="9">
        <f>'Apartamentos Completo'!L10</f>
        <v>0</v>
      </c>
      <c r="M10" s="9">
        <f>'Apartamentos Completo'!M10</f>
        <v>0</v>
      </c>
      <c r="N10" s="9">
        <f>'Apartamentos Completo'!N10</f>
        <v>0</v>
      </c>
      <c r="O10" s="9">
        <f>'Apartamentos Completo'!O10</f>
        <v>0</v>
      </c>
      <c r="P10" s="9">
        <f>'Apartamentos Completo'!P10</f>
        <v>138</v>
      </c>
      <c r="Q10" s="9">
        <f>'Apartamentos Completo'!Q10</f>
        <v>0.20000000000000018</v>
      </c>
      <c r="R10" s="9">
        <f>'Apartamentos Completo'!R10</f>
        <v>0.15612535612535616</v>
      </c>
      <c r="S10" s="9">
        <f>'Apartamentos Completo'!S10</f>
        <v>0.043874643874644015</v>
      </c>
      <c r="T10" s="9">
        <f>'Apartamentos Completo'!T10</f>
        <v>2.5434782608695654</v>
      </c>
      <c r="U10" s="9">
        <f>'Apartamentos Completo'!U10</f>
        <v>11.820087179029324</v>
      </c>
      <c r="V10" s="9">
        <f>'Apartamentos Completo'!V10</f>
        <v>0</v>
      </c>
      <c r="W10" s="9">
        <f>'Apartamentos Completo'!W10</f>
        <v>0</v>
      </c>
      <c r="X10" s="9">
        <f>'Apartamentos Completo'!X10</f>
        <v>0</v>
      </c>
      <c r="Y10" s="9">
        <f>'Apartamentos Completo'!Y10</f>
        <v>0</v>
      </c>
      <c r="Z10" s="9">
        <f>'Apartamentos Completo'!Z10</f>
        <v>0.28102189781021897</v>
      </c>
      <c r="AA10" s="9">
        <f>'Apartamentos Completo'!AA10</f>
        <v>35.1</v>
      </c>
      <c r="AB10" s="9">
        <f>'Apartamentos Completo'!AB10</f>
        <v>35.1</v>
      </c>
      <c r="AC10" s="9">
        <f>'Apartamentos Completo'!AC10</f>
        <v>35.1</v>
      </c>
      <c r="AD10" s="9">
        <f>'Apartamentos Completo'!AD10</f>
        <v>35.1</v>
      </c>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row>
    <row r="11">
      <c r="A11" s="10">
        <f>'Apartamentos Completo'!A11</f>
        <v>122</v>
      </c>
      <c r="B11" t="str">
        <f>'Apartamentos Completo'!B11</f>
        <v>Apartamento</v>
      </c>
      <c r="C11" t="str">
        <f>'Apartamentos Completo'!C11</f>
        <v>Triana House </v>
      </c>
      <c r="D11" t="str">
        <f>'Apartamentos Completo'!D11</f>
        <v>Tripadvisor</v>
      </c>
      <c r="E11" s="9">
        <f>'Apartamentos Completo'!E11</f>
        <v>176</v>
      </c>
      <c r="F11" s="9">
        <f>'Apartamentos Completo'!F11</f>
        <v>164</v>
      </c>
      <c r="G11" s="9">
        <f>'Apartamentos Completo'!G11</f>
        <v>4.8</v>
      </c>
      <c r="H11" s="9">
        <f>'Apartamentos Completo'!H11</f>
        <v>4.6</v>
      </c>
      <c r="I11" s="9">
        <f>'Apartamentos Completo'!I11</f>
        <v>4.7035294117647055</v>
      </c>
      <c r="J11" s="9">
        <f>'Apartamentos Completo'!J11</f>
        <v>1</v>
      </c>
      <c r="K11" s="9">
        <f>'Apartamentos Completo'!K11</f>
        <v>10</v>
      </c>
      <c r="L11" s="9">
        <f>'Apartamentos Completo'!L11</f>
        <v>0</v>
      </c>
      <c r="M11" s="9">
        <f>'Apartamentos Completo'!M11</f>
        <v>0</v>
      </c>
      <c r="N11" s="9">
        <f>'Apartamentos Completo'!N11</f>
        <v>0</v>
      </c>
      <c r="O11" s="9">
        <f>'Apartamentos Completo'!O11</f>
        <v>0</v>
      </c>
      <c r="P11" s="9">
        <f>'Apartamentos Completo'!P11</f>
        <v>856</v>
      </c>
      <c r="Q11" s="9">
        <f>'Apartamentos Completo'!Q11</f>
        <v>0.20000000000000018</v>
      </c>
      <c r="R11" s="9">
        <f>'Apartamentos Completo'!R11</f>
        <v>0.09647058823529431</v>
      </c>
      <c r="S11" s="9">
        <f>'Apartamentos Completo'!S11</f>
        <v>0.10352941176470587</v>
      </c>
      <c r="T11" s="9">
        <f>'Apartamentos Completo'!T11</f>
        <v>0.397196261682243</v>
      </c>
      <c r="U11" s="9">
        <f>'Apartamentos Completo'!U11</f>
        <v>11.90688554157051</v>
      </c>
      <c r="V11" s="9">
        <f>'Apartamentos Completo'!V11</f>
        <v>0</v>
      </c>
      <c r="W11" s="9">
        <f>'Apartamentos Completo'!W11</f>
        <v>0</v>
      </c>
      <c r="X11" s="9">
        <f>'Apartamentos Completo'!X11</f>
        <v>0</v>
      </c>
      <c r="Y11" s="9">
        <f>'Apartamentos Completo'!Y11</f>
        <v>0</v>
      </c>
      <c r="Z11" s="9">
        <f>'Apartamentos Completo'!Z11</f>
        <v>1.0731707317073171</v>
      </c>
      <c r="AA11" s="9">
        <f>'Apartamentos Completo'!AA11</f>
        <v>34</v>
      </c>
      <c r="AB11" s="9">
        <f>'Apartamentos Completo'!AB11</f>
        <v>34</v>
      </c>
      <c r="AC11" s="9">
        <f>'Apartamentos Completo'!AC11</f>
        <v>34</v>
      </c>
      <c r="AD11" s="9">
        <f>'Apartamentos Completo'!AD11</f>
        <v>34</v>
      </c>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row>
    <row r="12">
      <c r="A12" s="10">
        <f>'Apartamentos Completo'!A12</f>
        <v>123</v>
      </c>
      <c r="B12" t="str">
        <f>'Apartamentos Completo'!B12</f>
        <v>Apartamento</v>
      </c>
      <c r="C12" t="str">
        <f>'Apartamentos Completo'!C12</f>
        <v>Mercer Residences Sevilla </v>
      </c>
      <c r="D12" t="str">
        <f>'Apartamentos Completo'!D12</f>
        <v>Tripadvisor</v>
      </c>
      <c r="E12" s="9">
        <f>'Apartamentos Completo'!E12</f>
        <v>37</v>
      </c>
      <c r="F12" s="9">
        <f>'Apartamentos Completo'!F12</f>
        <v>60</v>
      </c>
      <c r="G12" s="9">
        <f>'Apartamentos Completo'!G12</f>
        <v>4.9</v>
      </c>
      <c r="H12" s="9">
        <f>'Apartamentos Completo'!H12</f>
        <v>4.9</v>
      </c>
      <c r="I12" s="9">
        <f>'Apartamentos Completo'!I12</f>
        <v>4.9</v>
      </c>
      <c r="J12" s="9">
        <f>'Apartamentos Completo'!J12</f>
        <v>1</v>
      </c>
      <c r="K12" s="9">
        <f>'Apartamentos Completo'!K12</f>
        <v>11</v>
      </c>
      <c r="L12" s="9">
        <f>'Apartamentos Completo'!L12</f>
        <v>0</v>
      </c>
      <c r="M12" s="9">
        <f>'Apartamentos Completo'!M12</f>
        <v>0</v>
      </c>
      <c r="N12" s="9">
        <f>'Apartamentos Completo'!N12</f>
        <v>0</v>
      </c>
      <c r="O12" s="9">
        <f>'Apartamentos Completo'!O12</f>
        <v>0</v>
      </c>
      <c r="P12" s="9">
        <f>'Apartamentos Completo'!P12</f>
        <v>878</v>
      </c>
      <c r="Q12" s="9">
        <f>'Apartamentos Completo'!Q12</f>
        <v>0</v>
      </c>
      <c r="R12" s="9">
        <f>'Apartamentos Completo'!R12</f>
        <v>0</v>
      </c>
      <c r="S12" s="9">
        <f>'Apartamentos Completo'!S12</f>
        <v>0</v>
      </c>
      <c r="T12" s="9">
        <f>'Apartamentos Completo'!T12</f>
        <v>0.11047835990888383</v>
      </c>
      <c r="U12" s="9">
        <f>'Apartamentos Completo'!U12</f>
        <v>9.7351814979046</v>
      </c>
      <c r="V12" s="9">
        <f>'Apartamentos Completo'!V12</f>
        <v>0</v>
      </c>
      <c r="W12" s="9">
        <f>'Apartamentos Completo'!W12</f>
        <v>0</v>
      </c>
      <c r="X12" s="9">
        <f>'Apartamentos Completo'!X12</f>
        <v>0</v>
      </c>
      <c r="Y12" s="9">
        <f>'Apartamentos Completo'!Y12</f>
        <v>0</v>
      </c>
      <c r="Z12" s="9">
        <f>'Apartamentos Completo'!Z12</f>
        <v>0.6166666666666667</v>
      </c>
      <c r="AA12" s="9">
        <f>'Apartamentos Completo'!AA12</f>
        <v>9.7</v>
      </c>
      <c r="AB12" s="9">
        <f>'Apartamentos Completo'!AB12</f>
        <v>9.7</v>
      </c>
      <c r="AC12" s="9">
        <f>'Apartamentos Completo'!AC12</f>
        <v>9.7</v>
      </c>
      <c r="AD12" s="9">
        <f>'Apartamentos Completo'!AD12</f>
        <v>9.7</v>
      </c>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row>
    <row r="13">
      <c r="A13" s="10">
        <f>'Apartamentos Completo'!A13</f>
        <v>124</v>
      </c>
      <c r="B13" t="str">
        <f>'Apartamentos Completo'!B13</f>
        <v>Apartamento</v>
      </c>
      <c r="C13" t="str">
        <f>'Apartamentos Completo'!C13</f>
        <v>Palacio Bucarelli </v>
      </c>
      <c r="D13" t="str">
        <f>'Apartamentos Completo'!D13</f>
        <v>Tripadvisor</v>
      </c>
      <c r="E13" s="9">
        <f>'Apartamentos Completo'!E13</f>
        <v>194</v>
      </c>
      <c r="F13" s="9">
        <f>'Apartamentos Completo'!F13</f>
        <v>126</v>
      </c>
      <c r="G13" s="9">
        <f>'Apartamentos Completo'!G13</f>
        <v>4.6</v>
      </c>
      <c r="H13" s="9">
        <f>'Apartamentos Completo'!H13</f>
        <v>4.7</v>
      </c>
      <c r="I13" s="9">
        <f>'Apartamentos Completo'!I13</f>
        <v>4.639374999999999</v>
      </c>
      <c r="J13" s="9">
        <f>'Apartamentos Completo'!J13</f>
        <v>1</v>
      </c>
      <c r="K13" s="9">
        <f>'Apartamentos Completo'!K13</f>
        <v>12</v>
      </c>
      <c r="L13" s="9">
        <f>'Apartamentos Completo'!L13</f>
        <v>0</v>
      </c>
      <c r="M13" s="9">
        <f>'Apartamentos Completo'!M13</f>
        <v>0</v>
      </c>
      <c r="N13" s="9">
        <f>'Apartamentos Completo'!N13</f>
        <v>0</v>
      </c>
      <c r="O13" s="9">
        <f>'Apartamentos Completo'!O13</f>
        <v>0</v>
      </c>
      <c r="P13" s="9">
        <f>'Apartamentos Completo'!P13</f>
        <v>1500</v>
      </c>
      <c r="Q13" s="9">
        <f>'Apartamentos Completo'!Q13</f>
        <v>0.10000000000000053</v>
      </c>
      <c r="R13" s="9">
        <f>'Apartamentos Completo'!R13</f>
        <v>0.039374999999999716</v>
      </c>
      <c r="S13" s="9">
        <f>'Apartamentos Completo'!S13</f>
        <v>0.06062500000000082</v>
      </c>
      <c r="T13" s="9">
        <f>'Apartamentos Completo'!T13</f>
        <v>0.21333333333333335</v>
      </c>
      <c r="U13" s="9">
        <f>'Apartamentos Completo'!U13</f>
        <v>11.62233018066791</v>
      </c>
      <c r="V13" s="9">
        <f>'Apartamentos Completo'!V13</f>
        <v>0</v>
      </c>
      <c r="W13" s="9">
        <f>'Apartamentos Completo'!W13</f>
        <v>0</v>
      </c>
      <c r="X13" s="9">
        <f>'Apartamentos Completo'!X13</f>
        <v>0</v>
      </c>
      <c r="Y13" s="9">
        <f>'Apartamentos Completo'!Y13</f>
        <v>0</v>
      </c>
      <c r="Z13" s="9">
        <f>'Apartamentos Completo'!Z13</f>
        <v>1.5396825396825398</v>
      </c>
      <c r="AA13" s="9">
        <f>'Apartamentos Completo'!AA13</f>
        <v>32</v>
      </c>
      <c r="AB13" s="9">
        <f>'Apartamentos Completo'!AB13</f>
        <v>32</v>
      </c>
      <c r="AC13" s="9">
        <f>'Apartamentos Completo'!AC13</f>
        <v>32</v>
      </c>
      <c r="AD13" s="9">
        <f>'Apartamentos Completo'!AD13</f>
        <v>32</v>
      </c>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row>
    <row r="14">
      <c r="A14" s="10">
        <f>'Apartamentos Completo'!A14</f>
        <v>125</v>
      </c>
      <c r="B14" t="str">
        <f>'Apartamentos Completo'!B14</f>
        <v>Apartamento</v>
      </c>
      <c r="C14" t="str">
        <f>'Apartamentos Completo'!C14</f>
        <v>Hom Sevilla </v>
      </c>
      <c r="D14" t="str">
        <f>'Apartamentos Completo'!D14</f>
        <v>Tripadvisor</v>
      </c>
      <c r="E14" s="9">
        <f>'Apartamentos Completo'!E14</f>
        <v>188</v>
      </c>
      <c r="F14" s="9">
        <f>'Apartamentos Completo'!F14</f>
        <v>147</v>
      </c>
      <c r="G14" s="9">
        <f>'Apartamentos Completo'!G14</f>
        <v>4.4</v>
      </c>
      <c r="H14" s="9">
        <f>'Apartamentos Completo'!H14</f>
        <v>4.8</v>
      </c>
      <c r="I14" s="9">
        <f>'Apartamentos Completo'!I14</f>
        <v>4.575522388059702</v>
      </c>
      <c r="J14" s="9">
        <f>'Apartamentos Completo'!J14</f>
        <v>1</v>
      </c>
      <c r="K14" s="9">
        <f>'Apartamentos Completo'!K14</f>
        <v>13</v>
      </c>
      <c r="L14" s="9">
        <f>'Apartamentos Completo'!L14</f>
        <v>0</v>
      </c>
      <c r="M14" s="9">
        <f>'Apartamentos Completo'!M14</f>
        <v>0</v>
      </c>
      <c r="N14" s="9">
        <f>'Apartamentos Completo'!N14</f>
        <v>0</v>
      </c>
      <c r="O14" s="9">
        <f>'Apartamentos Completo'!O14</f>
        <v>0</v>
      </c>
      <c r="P14" s="9">
        <f>'Apartamentos Completo'!P14</f>
        <v>196</v>
      </c>
      <c r="Q14" s="9">
        <f>'Apartamentos Completo'!Q14</f>
        <v>0.39999999999999947</v>
      </c>
      <c r="R14" s="9">
        <f>'Apartamentos Completo'!R14</f>
        <v>0.17552238805970166</v>
      </c>
      <c r="S14" s="9">
        <f>'Apartamentos Completo'!S14</f>
        <v>0.2244776119402978</v>
      </c>
      <c r="T14" s="9">
        <f>'Apartamentos Completo'!T14</f>
        <v>1.7091836734693877</v>
      </c>
      <c r="U14" s="9">
        <f>'Apartamentos Completo'!U14</f>
        <v>11.553399045450975</v>
      </c>
      <c r="V14" s="9">
        <f>'Apartamentos Completo'!V14</f>
        <v>0</v>
      </c>
      <c r="W14" s="9">
        <f>'Apartamentos Completo'!W14</f>
        <v>0</v>
      </c>
      <c r="X14" s="9">
        <f>'Apartamentos Completo'!X14</f>
        <v>0</v>
      </c>
      <c r="Y14" s="9">
        <f>'Apartamentos Completo'!Y14</f>
        <v>0</v>
      </c>
      <c r="Z14" s="9">
        <f>'Apartamentos Completo'!Z14</f>
        <v>1.2789115646258504</v>
      </c>
      <c r="AA14" s="9">
        <f>'Apartamentos Completo'!AA14</f>
        <v>33.5</v>
      </c>
      <c r="AB14" s="9">
        <f>'Apartamentos Completo'!AB14</f>
        <v>33.5</v>
      </c>
      <c r="AC14" s="9">
        <f>'Apartamentos Completo'!AC14</f>
        <v>33.5</v>
      </c>
      <c r="AD14" s="9">
        <f>'Apartamentos Completo'!AD14</f>
        <v>33.5</v>
      </c>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row>
    <row r="15">
      <c r="A15" s="10">
        <f>'Apartamentos Completo'!A15</f>
        <v>126</v>
      </c>
      <c r="B15" t="str">
        <f>'Apartamentos Completo'!B15</f>
        <v>Apartamento</v>
      </c>
      <c r="C15" t="str">
        <f>'Apartamentos Completo'!C15</f>
        <v>Holiday Rentals Tempa Museo </v>
      </c>
      <c r="D15" t="str">
        <f>'Apartamentos Completo'!D15</f>
        <v>Tripadvisor</v>
      </c>
      <c r="E15" s="9">
        <f>'Apartamentos Completo'!E15</f>
        <v>723</v>
      </c>
      <c r="F15" s="9">
        <f>'Apartamentos Completo'!F15</f>
        <v>579</v>
      </c>
      <c r="G15" s="9">
        <f>'Apartamentos Completo'!G15</f>
        <v>4.3</v>
      </c>
      <c r="H15" s="9">
        <f>'Apartamentos Completo'!H15</f>
        <v>4.4</v>
      </c>
      <c r="I15" s="9">
        <f>'Apartamentos Completo'!I15</f>
        <v>4.344470046082949</v>
      </c>
      <c r="J15" s="9">
        <f>'Apartamentos Completo'!J15</f>
        <v>1</v>
      </c>
      <c r="K15" s="9">
        <f>'Apartamentos Completo'!K15</f>
        <v>14</v>
      </c>
      <c r="L15" s="9">
        <f>'Apartamentos Completo'!L15</f>
        <v>0</v>
      </c>
      <c r="M15" s="9">
        <f>'Apartamentos Completo'!M15</f>
        <v>0</v>
      </c>
      <c r="N15" s="9">
        <f>'Apartamentos Completo'!N15</f>
        <v>0</v>
      </c>
      <c r="O15" s="9">
        <f>'Apartamentos Completo'!O15</f>
        <v>0</v>
      </c>
      <c r="P15" s="9">
        <f>'Apartamentos Completo'!P15</f>
        <v>1000</v>
      </c>
      <c r="Q15" s="9">
        <f>'Apartamentos Completo'!Q15</f>
        <v>0.10000000000000053</v>
      </c>
      <c r="R15" s="9">
        <f>'Apartamentos Completo'!R15</f>
        <v>0.044470046082949466</v>
      </c>
      <c r="S15" s="9">
        <f>'Apartamentos Completo'!S15</f>
        <v>0.05552995391705107</v>
      </c>
      <c r="T15" s="9">
        <f>'Apartamentos Completo'!T15</f>
        <v>1.302</v>
      </c>
      <c r="U15" s="9">
        <f>'Apartamentos Completo'!U15</f>
        <v>13.531334126197608</v>
      </c>
      <c r="V15" s="9">
        <f>'Apartamentos Completo'!V15</f>
        <v>0</v>
      </c>
      <c r="W15" s="9">
        <f>'Apartamentos Completo'!W15</f>
        <v>0</v>
      </c>
      <c r="X15" s="9">
        <f>'Apartamentos Completo'!X15</f>
        <v>0</v>
      </c>
      <c r="Y15" s="9">
        <f>'Apartamentos Completo'!Y15</f>
        <v>0</v>
      </c>
      <c r="Z15" s="9">
        <f>'Apartamentos Completo'!Z15</f>
        <v>1.2487046632124352</v>
      </c>
      <c r="AA15" s="9">
        <f>'Apartamentos Completo'!AA15</f>
        <v>130.2</v>
      </c>
      <c r="AB15" s="9">
        <f>'Apartamentos Completo'!AB15</f>
        <v>130.2</v>
      </c>
      <c r="AC15" s="9">
        <f>'Apartamentos Completo'!AC15</f>
        <v>130.2</v>
      </c>
      <c r="AD15" s="9">
        <f>'Apartamentos Completo'!AD15</f>
        <v>130.2</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c r="A16" s="10">
        <f>'Apartamentos Completo'!A16</f>
        <v>127</v>
      </c>
      <c r="B16" t="str">
        <f>'Apartamentos Completo'!B16</f>
        <v>Apartamento</v>
      </c>
      <c r="C16" t="str">
        <f>'Apartamentos Completo'!C16</f>
        <v>Pierre &amp; Vacances Sevilla Apartamentos </v>
      </c>
      <c r="D16" t="str">
        <f>'Apartamentos Completo'!D16</f>
        <v>Tripadvisor</v>
      </c>
      <c r="E16" s="9">
        <f>'Apartamentos Completo'!E16</f>
        <v>1259</v>
      </c>
      <c r="F16" s="9">
        <f>'Apartamentos Completo'!F16</f>
        <v>809</v>
      </c>
      <c r="G16" s="9">
        <f>'Apartamentos Completo'!G16</f>
        <v>4.1</v>
      </c>
      <c r="H16" s="9">
        <f>'Apartamentos Completo'!H16</f>
        <v>4.1</v>
      </c>
      <c r="I16" s="9">
        <f>'Apartamentos Completo'!I16</f>
        <v>4.1</v>
      </c>
      <c r="J16" s="9">
        <f>'Apartamentos Completo'!J16</f>
        <v>1</v>
      </c>
      <c r="K16" s="9">
        <f>'Apartamentos Completo'!K16</f>
        <v>15</v>
      </c>
      <c r="L16" s="9">
        <f>'Apartamentos Completo'!L16</f>
        <v>0</v>
      </c>
      <c r="M16" s="9">
        <f>'Apartamentos Completo'!M16</f>
        <v>0</v>
      </c>
      <c r="N16" s="9">
        <f>'Apartamentos Completo'!N16</f>
        <v>0</v>
      </c>
      <c r="O16" s="9">
        <f>'Apartamentos Completo'!O16</f>
        <v>0</v>
      </c>
      <c r="P16" s="9">
        <f>'Apartamentos Completo'!P16</f>
        <v>1050</v>
      </c>
      <c r="Q16" s="9">
        <f>'Apartamentos Completo'!Q16</f>
        <v>0</v>
      </c>
      <c r="R16" s="9">
        <f>'Apartamentos Completo'!R16</f>
        <v>0</v>
      </c>
      <c r="S16" s="9">
        <f>'Apartamentos Completo'!S16</f>
        <v>0</v>
      </c>
      <c r="T16" s="9">
        <f>'Apartamentos Completo'!T16</f>
        <v>1.9695238095238095</v>
      </c>
      <c r="U16" s="9">
        <f>'Apartamentos Completo'!U16</f>
        <v>13.593757191129809</v>
      </c>
      <c r="V16" s="9">
        <f>'Apartamentos Completo'!V16</f>
        <v>0</v>
      </c>
      <c r="W16" s="9">
        <f>'Apartamentos Completo'!W16</f>
        <v>0</v>
      </c>
      <c r="X16" s="9">
        <f>'Apartamentos Completo'!X16</f>
        <v>0</v>
      </c>
      <c r="Y16" s="9">
        <f>'Apartamentos Completo'!Y16</f>
        <v>0</v>
      </c>
      <c r="Z16" s="9">
        <f>'Apartamentos Completo'!Z16</f>
        <v>1.5562422744128555</v>
      </c>
      <c r="AA16" s="9">
        <f>'Apartamentos Completo'!AA16</f>
        <v>206.8</v>
      </c>
      <c r="AB16" s="9">
        <f>'Apartamentos Completo'!AB16</f>
        <v>206.8</v>
      </c>
      <c r="AC16" s="9">
        <f>'Apartamentos Completo'!AC16</f>
        <v>206.8</v>
      </c>
      <c r="AD16" s="9">
        <f>'Apartamentos Completo'!AD16</f>
        <v>206.8</v>
      </c>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row>
    <row r="17">
      <c r="A17" s="10">
        <f>'Apartamentos Completo'!A17</f>
        <v>128</v>
      </c>
      <c r="B17" t="str">
        <f>'Apartamentos Completo'!B17</f>
        <v>Apartamento</v>
      </c>
      <c r="C17" t="str">
        <f>'Apartamentos Completo'!C17</f>
        <v>Conde De Torrejon 10 </v>
      </c>
      <c r="D17" t="str">
        <f>'Apartamentos Completo'!D17</f>
        <v>Tripadvisor</v>
      </c>
      <c r="E17" s="9">
        <f>'Apartamentos Completo'!E17</f>
        <v>15</v>
      </c>
      <c r="F17" s="9">
        <f>'Apartamentos Completo'!F17</f>
        <v>288</v>
      </c>
      <c r="G17" s="9">
        <f>'Apartamentos Completo'!G17</f>
        <v>3.8</v>
      </c>
      <c r="H17" s="9">
        <f>'Apartamentos Completo'!H17</f>
        <v>4.7</v>
      </c>
      <c r="I17" s="9">
        <f>'Apartamentos Completo'!I17</f>
        <v>4.655445544554456</v>
      </c>
      <c r="J17" s="9">
        <f>'Apartamentos Completo'!J17</f>
        <v>1</v>
      </c>
      <c r="K17" s="9">
        <f>'Apartamentos Completo'!K17</f>
        <v>16</v>
      </c>
      <c r="L17" s="9">
        <f>'Apartamentos Completo'!L17</f>
        <v>0</v>
      </c>
      <c r="M17" s="9">
        <f>'Apartamentos Completo'!M17</f>
        <v>0</v>
      </c>
      <c r="N17" s="9">
        <f>'Apartamentos Completo'!N17</f>
        <v>0</v>
      </c>
      <c r="O17" s="9">
        <f>'Apartamentos Completo'!O17</f>
        <v>0</v>
      </c>
      <c r="P17" s="9">
        <f>'Apartamentos Completo'!P17</f>
        <v>1200</v>
      </c>
      <c r="Q17" s="9">
        <f>'Apartamentos Completo'!Q17</f>
        <v>0.9000000000000004</v>
      </c>
      <c r="R17" s="9">
        <f>'Apartamentos Completo'!R17</f>
        <v>0.8554455445544562</v>
      </c>
      <c r="S17" s="9">
        <f>'Apartamentos Completo'!S17</f>
        <v>0.04455445544554415</v>
      </c>
      <c r="T17" s="9">
        <f>'Apartamentos Completo'!T17</f>
        <v>0.2525</v>
      </c>
      <c r="U17" s="9">
        <f>'Apartamentos Completo'!U17</f>
        <v>11.552221028928553</v>
      </c>
      <c r="V17" s="9">
        <f>'Apartamentos Completo'!V17</f>
        <v>0</v>
      </c>
      <c r="W17" s="9">
        <f>'Apartamentos Completo'!W17</f>
        <v>0</v>
      </c>
      <c r="X17" s="9">
        <f>'Apartamentos Completo'!X17</f>
        <v>0</v>
      </c>
      <c r="Y17" s="9">
        <f>'Apartamentos Completo'!Y17</f>
        <v>0</v>
      </c>
      <c r="Z17" s="9">
        <f>'Apartamentos Completo'!Z17</f>
        <v>0.052083333333333336</v>
      </c>
      <c r="AA17" s="9">
        <f>'Apartamentos Completo'!AA17</f>
        <v>30.3</v>
      </c>
      <c r="AB17" s="9">
        <f>'Apartamentos Completo'!AB17</f>
        <v>30.3</v>
      </c>
      <c r="AC17" s="9">
        <f>'Apartamentos Completo'!AC17</f>
        <v>30.3</v>
      </c>
      <c r="AD17" s="9">
        <f>'Apartamentos Completo'!AD17</f>
        <v>30.3</v>
      </c>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c r="A18" s="10">
        <f>'Apartamentos Completo'!A18</f>
        <v>129</v>
      </c>
      <c r="B18" t="str">
        <f>'Apartamentos Completo'!B18</f>
        <v>Apartamento</v>
      </c>
      <c r="C18" t="str">
        <f>'Apartamentos Completo'!C18</f>
        <v>AZZ Sevilla Torre de la Plata Apartamentos </v>
      </c>
      <c r="D18" t="str">
        <f>'Apartamentos Completo'!D18</f>
        <v>Tripadvisor</v>
      </c>
      <c r="E18" s="9">
        <f>'Apartamentos Completo'!E18</f>
        <v>138</v>
      </c>
      <c r="F18" s="9">
        <f>'Apartamentos Completo'!F18</f>
        <v>228</v>
      </c>
      <c r="G18" s="9">
        <f>'Apartamentos Completo'!G18</f>
        <v>4.3</v>
      </c>
      <c r="H18" s="9">
        <f>'Apartamentos Completo'!H18</f>
        <v>4.4</v>
      </c>
      <c r="I18" s="9">
        <f>'Apartamentos Completo'!I18</f>
        <v>4.362295081967213</v>
      </c>
      <c r="J18" s="9">
        <f>'Apartamentos Completo'!J18</f>
        <v>1</v>
      </c>
      <c r="K18" s="9">
        <f>'Apartamentos Completo'!K18</f>
        <v>17</v>
      </c>
      <c r="L18" s="9">
        <f>'Apartamentos Completo'!L18</f>
        <v>0</v>
      </c>
      <c r="M18" s="9">
        <f>'Apartamentos Completo'!M18</f>
        <v>0</v>
      </c>
      <c r="N18" s="9">
        <f>'Apartamentos Completo'!N18</f>
        <v>0</v>
      </c>
      <c r="O18" s="9">
        <f>'Apartamentos Completo'!O18</f>
        <v>0</v>
      </c>
      <c r="P18" s="9">
        <f>'Apartamentos Completo'!P18</f>
        <v>431</v>
      </c>
      <c r="Q18" s="9">
        <f>'Apartamentos Completo'!Q18</f>
        <v>0.10000000000000053</v>
      </c>
      <c r="R18" s="9">
        <f>'Apartamentos Completo'!R18</f>
        <v>0.06229508196721323</v>
      </c>
      <c r="S18" s="9">
        <f>'Apartamentos Completo'!S18</f>
        <v>0.037704918032787305</v>
      </c>
      <c r="T18" s="9">
        <f>'Apartamentos Completo'!T18</f>
        <v>0.8491879350348028</v>
      </c>
      <c r="U18" s="9">
        <f>'Apartamentos Completo'!U18</f>
        <v>11.182660931532011</v>
      </c>
      <c r="V18" s="9">
        <f>'Apartamentos Completo'!V18</f>
        <v>0</v>
      </c>
      <c r="W18" s="9">
        <f>'Apartamentos Completo'!W18</f>
        <v>0</v>
      </c>
      <c r="X18" s="9">
        <f>'Apartamentos Completo'!X18</f>
        <v>0</v>
      </c>
      <c r="Y18" s="9">
        <f>'Apartamentos Completo'!Y18</f>
        <v>0</v>
      </c>
      <c r="Z18" s="9">
        <f>'Apartamentos Completo'!Z18</f>
        <v>0.6052631578947368</v>
      </c>
      <c r="AA18" s="9">
        <f>'Apartamentos Completo'!AA18</f>
        <v>36.6</v>
      </c>
      <c r="AB18" s="9">
        <f>'Apartamentos Completo'!AB18</f>
        <v>36.6</v>
      </c>
      <c r="AC18" s="9">
        <f>'Apartamentos Completo'!AC18</f>
        <v>36.6</v>
      </c>
      <c r="AD18" s="9">
        <f>'Apartamentos Completo'!AD18</f>
        <v>36.6</v>
      </c>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row>
    <row r="19">
      <c r="A19" s="10">
        <f>'Apartamentos Completo'!A19</f>
        <v>130</v>
      </c>
      <c r="B19" t="str">
        <f>'Apartamentos Completo'!B19</f>
        <v>Apartamento</v>
      </c>
      <c r="C19" t="str">
        <f>'Apartamentos Completo'!C19</f>
        <v>The Zentral Arenal Suites </v>
      </c>
      <c r="D19" t="str">
        <f>'Apartamentos Completo'!D19</f>
        <v>Tripadvisor</v>
      </c>
      <c r="E19" s="9">
        <f>'Apartamentos Completo'!E19</f>
        <v>47</v>
      </c>
      <c r="F19" s="9">
        <f>'Apartamentos Completo'!F19</f>
        <v>147</v>
      </c>
      <c r="G19" s="9">
        <f>'Apartamentos Completo'!G19</f>
        <v>4.1</v>
      </c>
      <c r="H19" s="9">
        <f>'Apartamentos Completo'!H19</f>
        <v>4.6</v>
      </c>
      <c r="I19" s="9">
        <f>'Apartamentos Completo'!I19</f>
        <v>4.4788659793814425</v>
      </c>
      <c r="J19" s="9">
        <f>'Apartamentos Completo'!J19</f>
        <v>1</v>
      </c>
      <c r="K19" s="9">
        <f>'Apartamentos Completo'!K19</f>
        <v>18</v>
      </c>
      <c r="L19" s="9">
        <f>'Apartamentos Completo'!L19</f>
        <v>0</v>
      </c>
      <c r="M19" s="9">
        <f>'Apartamentos Completo'!M19</f>
        <v>0</v>
      </c>
      <c r="N19" s="9">
        <f>'Apartamentos Completo'!N19</f>
        <v>0</v>
      </c>
      <c r="O19" s="9">
        <f>'Apartamentos Completo'!O19</f>
        <v>0</v>
      </c>
      <c r="P19" s="9">
        <f>'Apartamentos Completo'!P19</f>
        <v>584</v>
      </c>
      <c r="Q19" s="9">
        <f>'Apartamentos Completo'!Q19</f>
        <v>0.5</v>
      </c>
      <c r="R19" s="9">
        <f>'Apartamentos Completo'!R19</f>
        <v>0.37886597938144284</v>
      </c>
      <c r="S19" s="9">
        <f>'Apartamentos Completo'!S19</f>
        <v>0.12113402061855716</v>
      </c>
      <c r="T19" s="9">
        <f>'Apartamentos Completo'!T19</f>
        <v>0.3321917808219178</v>
      </c>
      <c r="U19" s="9">
        <f>'Apartamentos Completo'!U19</f>
        <v>10.2467573357545</v>
      </c>
      <c r="V19" s="9">
        <f>'Apartamentos Completo'!V19</f>
        <v>0</v>
      </c>
      <c r="W19" s="9">
        <f>'Apartamentos Completo'!W19</f>
        <v>0</v>
      </c>
      <c r="X19" s="9">
        <f>'Apartamentos Completo'!X19</f>
        <v>0</v>
      </c>
      <c r="Y19" s="9">
        <f>'Apartamentos Completo'!Y19</f>
        <v>0</v>
      </c>
      <c r="Z19" s="9">
        <f>'Apartamentos Completo'!Z19</f>
        <v>0.3197278911564626</v>
      </c>
      <c r="AA19" s="9">
        <f>'Apartamentos Completo'!AA19</f>
        <v>19.4</v>
      </c>
      <c r="AB19" s="9">
        <f>'Apartamentos Completo'!AB19</f>
        <v>19.4</v>
      </c>
      <c r="AC19" s="9">
        <f>'Apartamentos Completo'!AC19</f>
        <v>19.4</v>
      </c>
      <c r="AD19" s="9">
        <f>'Apartamentos Completo'!AD19</f>
        <v>19.4</v>
      </c>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row>
    <row r="20">
      <c r="A20" s="10">
        <f>'Apartamentos Completo'!A20</f>
        <v>131</v>
      </c>
      <c r="B20" t="str">
        <f>'Apartamentos Completo'!B20</f>
        <v>Apartamento</v>
      </c>
      <c r="C20" t="str">
        <f>'Apartamentos Completo'!C20</f>
        <v>Q&amp;Q Cathedral Suites </v>
      </c>
      <c r="D20" t="str">
        <f>'Apartamentos Completo'!D20</f>
        <v>Tripadvisor</v>
      </c>
      <c r="E20" s="9">
        <f>'Apartamentos Completo'!E20</f>
        <v>100</v>
      </c>
      <c r="F20" s="9">
        <f>'Apartamentos Completo'!F20</f>
        <v>123</v>
      </c>
      <c r="G20" s="9">
        <f>'Apartamentos Completo'!G20</f>
        <v>4.4</v>
      </c>
      <c r="H20" s="9">
        <f>'Apartamentos Completo'!H20</f>
        <v>4.6</v>
      </c>
      <c r="I20" s="9">
        <f>'Apartamentos Completo'!I20</f>
        <v>4.510313901345291</v>
      </c>
      <c r="J20" s="9">
        <f>'Apartamentos Completo'!J20</f>
        <v>1</v>
      </c>
      <c r="K20" s="9">
        <f>'Apartamentos Completo'!K20</f>
        <v>19</v>
      </c>
      <c r="L20" s="9">
        <f>'Apartamentos Completo'!L20</f>
        <v>0</v>
      </c>
      <c r="M20" s="9">
        <f>'Apartamentos Completo'!M20</f>
        <v>0</v>
      </c>
      <c r="N20" s="9">
        <f>'Apartamentos Completo'!N20</f>
        <v>0</v>
      </c>
      <c r="O20" s="9">
        <f>'Apartamentos Completo'!O20</f>
        <v>0</v>
      </c>
      <c r="P20" s="9">
        <f>'Apartamentos Completo'!P20</f>
        <v>210</v>
      </c>
      <c r="Q20" s="9">
        <f>'Apartamentos Completo'!Q20</f>
        <v>0.1999999999999993</v>
      </c>
      <c r="R20" s="9">
        <f>'Apartamentos Completo'!R20</f>
        <v>0.11031390134529051</v>
      </c>
      <c r="S20" s="9">
        <f>'Apartamentos Completo'!S20</f>
        <v>0.08968609865470878</v>
      </c>
      <c r="T20" s="9">
        <f>'Apartamentos Completo'!T20</f>
        <v>1.061904761904762</v>
      </c>
      <c r="U20" s="9">
        <f>'Apartamentos Completo'!U20</f>
        <v>10.591592068402868</v>
      </c>
      <c r="V20" s="9">
        <f>'Apartamentos Completo'!V20</f>
        <v>0</v>
      </c>
      <c r="W20" s="9">
        <f>'Apartamentos Completo'!W20</f>
        <v>0</v>
      </c>
      <c r="X20" s="9">
        <f>'Apartamentos Completo'!X20</f>
        <v>0</v>
      </c>
      <c r="Y20" s="9">
        <f>'Apartamentos Completo'!Y20</f>
        <v>0</v>
      </c>
      <c r="Z20" s="9">
        <f>'Apartamentos Completo'!Z20</f>
        <v>0.8130081300813008</v>
      </c>
      <c r="AA20" s="9">
        <f>'Apartamentos Completo'!AA20</f>
        <v>22.3</v>
      </c>
      <c r="AB20" s="9">
        <f>'Apartamentos Completo'!AB20</f>
        <v>22.3</v>
      </c>
      <c r="AC20" s="9">
        <f>'Apartamentos Completo'!AC20</f>
        <v>22.3</v>
      </c>
      <c r="AD20" s="9">
        <f>'Apartamentos Completo'!AD20</f>
        <v>22.3</v>
      </c>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row>
    <row r="21">
      <c r="A21" s="10">
        <f>'Apartamentos Completo'!A21</f>
        <v>132</v>
      </c>
      <c r="B21" t="str">
        <f>'Apartamentos Completo'!B21</f>
        <v>Apartamento</v>
      </c>
      <c r="C21" t="str">
        <f>'Apartamentos Completo'!C21</f>
        <v>Singular Siete Revueltas </v>
      </c>
      <c r="D21" t="str">
        <f>'Apartamentos Completo'!D21</f>
        <v>Tripadvisor</v>
      </c>
      <c r="E21" s="9">
        <f>'Apartamentos Completo'!E21</f>
        <v>134</v>
      </c>
      <c r="F21" s="9">
        <f>'Apartamentos Completo'!F21</f>
        <v>184</v>
      </c>
      <c r="G21" s="9">
        <f>'Apartamentos Completo'!G21</f>
        <v>4.3</v>
      </c>
      <c r="H21" s="9">
        <f>'Apartamentos Completo'!H21</f>
        <v>4.3</v>
      </c>
      <c r="I21" s="9">
        <f>'Apartamentos Completo'!I21</f>
        <v>4.3</v>
      </c>
      <c r="J21" s="9">
        <f>'Apartamentos Completo'!J21</f>
        <v>1</v>
      </c>
      <c r="K21" s="9">
        <f>'Apartamentos Completo'!K21</f>
        <v>20</v>
      </c>
      <c r="L21" s="9">
        <f>'Apartamentos Completo'!L21</f>
        <v>0</v>
      </c>
      <c r="M21" s="9">
        <f>'Apartamentos Completo'!M21</f>
        <v>0</v>
      </c>
      <c r="N21" s="9">
        <f>'Apartamentos Completo'!N21</f>
        <v>0</v>
      </c>
      <c r="O21" s="9">
        <f>'Apartamentos Completo'!O21</f>
        <v>0</v>
      </c>
      <c r="P21" s="9">
        <f>'Apartamentos Completo'!P21</f>
        <v>534</v>
      </c>
      <c r="Q21" s="9">
        <f>'Apartamentos Completo'!Q21</f>
        <v>0</v>
      </c>
      <c r="R21" s="9">
        <f>'Apartamentos Completo'!R21</f>
        <v>0</v>
      </c>
      <c r="S21" s="9">
        <f>'Apartamentos Completo'!S21</f>
        <v>0</v>
      </c>
      <c r="T21" s="9">
        <f>'Apartamentos Completo'!T21</f>
        <v>0.5955056179775281</v>
      </c>
      <c r="U21" s="9">
        <f>'Apartamentos Completo'!U21</f>
        <v>10.76043661593306</v>
      </c>
      <c r="V21" s="9">
        <f>'Apartamentos Completo'!V21</f>
        <v>0</v>
      </c>
      <c r="W21" s="9">
        <f>'Apartamentos Completo'!W21</f>
        <v>0</v>
      </c>
      <c r="X21" s="9">
        <f>'Apartamentos Completo'!X21</f>
        <v>0</v>
      </c>
      <c r="Y21" s="9">
        <f>'Apartamentos Completo'!Y21</f>
        <v>0</v>
      </c>
      <c r="Z21" s="9">
        <f>'Apartamentos Completo'!Z21</f>
        <v>0.7282608695652174</v>
      </c>
      <c r="AA21" s="9">
        <f>'Apartamentos Completo'!AA21</f>
        <v>31.8</v>
      </c>
      <c r="AB21" s="9">
        <f>'Apartamentos Completo'!AB21</f>
        <v>31.8</v>
      </c>
      <c r="AC21" s="9">
        <f>'Apartamentos Completo'!AC21</f>
        <v>31.8</v>
      </c>
      <c r="AD21" s="9">
        <f>'Apartamentos Completo'!AD21</f>
        <v>31.8</v>
      </c>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row>
    <row r="22">
      <c r="A22" s="10">
        <f>'Apartamentos Completo'!A22</f>
        <v>133</v>
      </c>
      <c r="B22" t="str">
        <f>'Apartamentos Completo'!B22</f>
        <v>Apartamento</v>
      </c>
      <c r="C22" t="str">
        <f>'Apartamentos Completo'!C22</f>
        <v>Overland Suites Catedral </v>
      </c>
      <c r="D22" t="str">
        <f>'Apartamentos Completo'!D22</f>
        <v>Tripadvisor</v>
      </c>
      <c r="E22" s="9">
        <f>'Apartamentos Completo'!E22</f>
        <v>162</v>
      </c>
      <c r="F22" s="9">
        <f>'Apartamentos Completo'!F22</f>
        <v>77</v>
      </c>
      <c r="G22" s="9">
        <f>'Apartamentos Completo'!G22</f>
        <v>4.7</v>
      </c>
      <c r="H22" s="9">
        <f>'Apartamentos Completo'!H22</f>
        <v>4.7</v>
      </c>
      <c r="I22" s="9">
        <f>'Apartamentos Completo'!I22</f>
        <v>4.7</v>
      </c>
      <c r="J22" s="9">
        <f>'Apartamentos Completo'!J22</f>
        <v>1</v>
      </c>
      <c r="K22" s="9">
        <f>'Apartamentos Completo'!K22</f>
        <v>21</v>
      </c>
      <c r="L22" s="9">
        <f>'Apartamentos Completo'!L22</f>
        <v>0</v>
      </c>
      <c r="M22" s="9">
        <f>'Apartamentos Completo'!M22</f>
        <v>0</v>
      </c>
      <c r="N22" s="9">
        <f>'Apartamentos Completo'!N22</f>
        <v>0</v>
      </c>
      <c r="O22" s="9">
        <f>'Apartamentos Completo'!O22</f>
        <v>0</v>
      </c>
      <c r="P22" s="9">
        <f>'Apartamentos Completo'!P22</f>
        <v>220</v>
      </c>
      <c r="Q22" s="9">
        <f>'Apartamentos Completo'!Q22</f>
        <v>0</v>
      </c>
      <c r="R22" s="9">
        <f>'Apartamentos Completo'!R22</f>
        <v>0</v>
      </c>
      <c r="S22" s="9">
        <f>'Apartamentos Completo'!S22</f>
        <v>0</v>
      </c>
      <c r="T22" s="9">
        <f>'Apartamentos Completo'!T22</f>
        <v>1.0863636363636364</v>
      </c>
      <c r="U22" s="9">
        <f>'Apartamentos Completo'!U22</f>
        <v>11.178470134456246</v>
      </c>
      <c r="V22" s="9">
        <f>'Apartamentos Completo'!V22</f>
        <v>0</v>
      </c>
      <c r="W22" s="9">
        <f>'Apartamentos Completo'!W22</f>
        <v>0</v>
      </c>
      <c r="X22" s="9">
        <f>'Apartamentos Completo'!X22</f>
        <v>0</v>
      </c>
      <c r="Y22" s="9">
        <f>'Apartamentos Completo'!Y22</f>
        <v>0</v>
      </c>
      <c r="Z22" s="9">
        <f>'Apartamentos Completo'!Z22</f>
        <v>2.103896103896104</v>
      </c>
      <c r="AA22" s="9">
        <f>'Apartamentos Completo'!AA22</f>
        <v>23.9</v>
      </c>
      <c r="AB22" s="9">
        <f>'Apartamentos Completo'!AB22</f>
        <v>23.9</v>
      </c>
      <c r="AC22" s="9">
        <f>'Apartamentos Completo'!AC22</f>
        <v>23.9</v>
      </c>
      <c r="AD22" s="9">
        <f>'Apartamentos Completo'!AD22</f>
        <v>23.9</v>
      </c>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row>
    <row r="23">
      <c r="A23" s="10">
        <f>'Apartamentos Completo'!A23</f>
        <v>134</v>
      </c>
      <c r="B23" t="str">
        <f>'Apartamentos Completo'!B23</f>
        <v>Apartamento</v>
      </c>
      <c r="C23" t="str">
        <f>'Apartamentos Completo'!C23</f>
        <v>Living-Sevilla Maestranza </v>
      </c>
      <c r="D23" t="str">
        <f>'Apartamentos Completo'!D23</f>
        <v>Tripadvisor</v>
      </c>
      <c r="E23" s="9">
        <f>'Apartamentos Completo'!E23</f>
        <v>74</v>
      </c>
      <c r="F23" s="9">
        <f>'Apartamentos Completo'!F23</f>
        <v>125</v>
      </c>
      <c r="G23" s="9">
        <f>'Apartamentos Completo'!G23</f>
        <v>4.3</v>
      </c>
      <c r="H23" s="9">
        <f>'Apartamentos Completo'!H23</f>
        <v>4.6</v>
      </c>
      <c r="I23" s="9">
        <f>'Apartamentos Completo'!I23</f>
        <v>4.488442211055276</v>
      </c>
      <c r="J23" s="9">
        <f>'Apartamentos Completo'!J23</f>
        <v>1</v>
      </c>
      <c r="K23" s="9">
        <f>'Apartamentos Completo'!K23</f>
        <v>22</v>
      </c>
      <c r="L23" s="9">
        <f>'Apartamentos Completo'!L23</f>
        <v>0</v>
      </c>
      <c r="M23" s="9">
        <f>'Apartamentos Completo'!M23</f>
        <v>0</v>
      </c>
      <c r="N23" s="9">
        <f>'Apartamentos Completo'!N23</f>
        <v>0</v>
      </c>
      <c r="O23" s="9">
        <f>'Apartamentos Completo'!O23</f>
        <v>0</v>
      </c>
      <c r="P23" s="9">
        <f>'Apartamentos Completo'!P23</f>
        <v>508</v>
      </c>
      <c r="Q23" s="9">
        <f>'Apartamentos Completo'!Q23</f>
        <v>0.2999999999999998</v>
      </c>
      <c r="R23" s="9">
        <f>'Apartamentos Completo'!R23</f>
        <v>0.1884422110552766</v>
      </c>
      <c r="S23" s="9">
        <f>'Apartamentos Completo'!S23</f>
        <v>0.11155778894472324</v>
      </c>
      <c r="T23" s="9">
        <f>'Apartamentos Completo'!T23</f>
        <v>0.39173228346456695</v>
      </c>
      <c r="U23" s="9">
        <f>'Apartamentos Completo'!U23</f>
        <v>10.318269185171609</v>
      </c>
      <c r="V23" s="9">
        <f>'Apartamentos Completo'!V23</f>
        <v>0</v>
      </c>
      <c r="W23" s="9">
        <f>'Apartamentos Completo'!W23</f>
        <v>0</v>
      </c>
      <c r="X23" s="9">
        <f>'Apartamentos Completo'!X23</f>
        <v>0</v>
      </c>
      <c r="Y23" s="9">
        <f>'Apartamentos Completo'!Y23</f>
        <v>0</v>
      </c>
      <c r="Z23" s="9">
        <f>'Apartamentos Completo'!Z23</f>
        <v>0.592</v>
      </c>
      <c r="AA23" s="9">
        <f>'Apartamentos Completo'!AA23</f>
        <v>19.9</v>
      </c>
      <c r="AB23" s="9">
        <f>'Apartamentos Completo'!AB23</f>
        <v>19.9</v>
      </c>
      <c r="AC23" s="9">
        <f>'Apartamentos Completo'!AC23</f>
        <v>19.9</v>
      </c>
      <c r="AD23" s="9">
        <f>'Apartamentos Completo'!AD23</f>
        <v>19.9</v>
      </c>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row>
    <row r="24">
      <c r="A24" s="10">
        <f>'Apartamentos Completo'!A24</f>
        <v>135</v>
      </c>
      <c r="B24" t="str">
        <f>'Apartamentos Completo'!B24</f>
        <v>Apartamento</v>
      </c>
      <c r="C24" t="str">
        <f>'Apartamentos Completo'!C24</f>
        <v>Singular Corral de San José </v>
      </c>
      <c r="D24" t="str">
        <f>'Apartamentos Completo'!D24</f>
        <v>Tripadvisor</v>
      </c>
      <c r="E24" s="9">
        <f>'Apartamentos Completo'!E24</f>
        <v>242</v>
      </c>
      <c r="F24" s="9">
        <f>'Apartamentos Completo'!F24</f>
        <v>273</v>
      </c>
      <c r="G24" s="9">
        <f>'Apartamentos Completo'!G24</f>
        <v>4.1</v>
      </c>
      <c r="H24" s="9">
        <f>'Apartamentos Completo'!H24</f>
        <v>4.1</v>
      </c>
      <c r="I24" s="9">
        <f>'Apartamentos Completo'!I24</f>
        <v>4.1</v>
      </c>
      <c r="J24" s="9">
        <f>'Apartamentos Completo'!J24</f>
        <v>1</v>
      </c>
      <c r="K24" s="9">
        <f>'Apartamentos Completo'!K24</f>
        <v>23</v>
      </c>
      <c r="L24" s="9">
        <f>'Apartamentos Completo'!L24</f>
        <v>0</v>
      </c>
      <c r="M24" s="9">
        <f>'Apartamentos Completo'!M24</f>
        <v>0</v>
      </c>
      <c r="N24" s="9">
        <f>'Apartamentos Completo'!N24</f>
        <v>0</v>
      </c>
      <c r="O24" s="9">
        <f>'Apartamentos Completo'!O24</f>
        <v>0</v>
      </c>
      <c r="P24" s="9">
        <f>'Apartamentos Completo'!P24</f>
        <v>227</v>
      </c>
      <c r="Q24" s="9">
        <f>'Apartamentos Completo'!Q24</f>
        <v>0</v>
      </c>
      <c r="R24" s="9">
        <f>'Apartamentos Completo'!R24</f>
        <v>0</v>
      </c>
      <c r="S24" s="9">
        <f>'Apartamentos Completo'!S24</f>
        <v>0</v>
      </c>
      <c r="T24" s="9">
        <f>'Apartamentos Completo'!T24</f>
        <v>2.2687224669603525</v>
      </c>
      <c r="U24" s="9">
        <f>'Apartamentos Completo'!U24</f>
        <v>11.118409639068883</v>
      </c>
      <c r="V24" s="9">
        <f>'Apartamentos Completo'!V24</f>
        <v>0</v>
      </c>
      <c r="W24" s="9">
        <f>'Apartamentos Completo'!W24</f>
        <v>0</v>
      </c>
      <c r="X24" s="9">
        <f>'Apartamentos Completo'!X24</f>
        <v>0</v>
      </c>
      <c r="Y24" s="9">
        <f>'Apartamentos Completo'!Y24</f>
        <v>0</v>
      </c>
      <c r="Z24" s="9">
        <f>'Apartamentos Completo'!Z24</f>
        <v>0.8864468864468864</v>
      </c>
      <c r="AA24" s="9">
        <f>'Apartamentos Completo'!AA24</f>
        <v>51.5</v>
      </c>
      <c r="AB24" s="9">
        <f>'Apartamentos Completo'!AB24</f>
        <v>51.5</v>
      </c>
      <c r="AC24" s="9">
        <f>'Apartamentos Completo'!AC24</f>
        <v>51.5</v>
      </c>
      <c r="AD24" s="9">
        <f>'Apartamentos Completo'!AD24</f>
        <v>51.5</v>
      </c>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row>
    <row r="25">
      <c r="A25" s="10">
        <f>'Apartamentos Completo'!A25</f>
        <v>136</v>
      </c>
      <c r="B25" t="str">
        <f>'Apartamentos Completo'!B25</f>
        <v>Apartamento</v>
      </c>
      <c r="C25" t="str">
        <f>'Apartamentos Completo'!C25</f>
        <v>Rey de Sevilla Flats Macarena </v>
      </c>
      <c r="D25" t="str">
        <f>'Apartamentos Completo'!D25</f>
        <v>Tripadvisor</v>
      </c>
      <c r="E25" s="9">
        <f>'Apartamentos Completo'!E25</f>
        <v>86</v>
      </c>
      <c r="F25" s="9">
        <f>'Apartamentos Completo'!F25</f>
        <v>76</v>
      </c>
      <c r="G25" s="9">
        <f>'Apartamentos Completo'!G25</f>
        <v>3.9</v>
      </c>
      <c r="H25" s="9">
        <f>'Apartamentos Completo'!H25</f>
        <v>4.4</v>
      </c>
      <c r="I25" s="9">
        <f>'Apartamentos Completo'!I25</f>
        <v>4.1345679012345675</v>
      </c>
      <c r="J25" s="9">
        <f>'Apartamentos Completo'!J25</f>
        <v>1</v>
      </c>
      <c r="K25" s="9">
        <f>'Apartamentos Completo'!K25</f>
        <v>24</v>
      </c>
      <c r="L25" s="9">
        <f>'Apartamentos Completo'!L25</f>
        <v>0</v>
      </c>
      <c r="M25" s="9">
        <f>'Apartamentos Completo'!M25</f>
        <v>0</v>
      </c>
      <c r="N25" s="9">
        <f>'Apartamentos Completo'!N25</f>
        <v>25</v>
      </c>
      <c r="O25" s="9">
        <f>'Apartamentos Completo'!O25</f>
        <v>2.5</v>
      </c>
      <c r="P25" s="9">
        <f>'Apartamentos Completo'!P25</f>
        <v>1780</v>
      </c>
      <c r="Q25" s="9">
        <f>'Apartamentos Completo'!Q25</f>
        <v>0.5000000000000004</v>
      </c>
      <c r="R25" s="9">
        <f>'Apartamentos Completo'!R25</f>
        <v>0.2345679012345676</v>
      </c>
      <c r="S25" s="9">
        <f>'Apartamentos Completo'!S25</f>
        <v>0.26543209876543283</v>
      </c>
      <c r="T25" s="9">
        <f>'Apartamentos Completo'!T25</f>
        <v>0.09101123595505618</v>
      </c>
      <c r="U25" s="9">
        <f>'Apartamentos Completo'!U25</f>
        <v>9.13538985642379</v>
      </c>
      <c r="V25" s="9">
        <f>'Apartamentos Completo'!V25</f>
        <v>0</v>
      </c>
      <c r="W25" s="9">
        <f>'Apartamentos Completo'!W25</f>
        <v>0</v>
      </c>
      <c r="X25" s="9">
        <f>'Apartamentos Completo'!X25</f>
        <v>1.4044943820224718</v>
      </c>
      <c r="Y25" s="9">
        <f>'Apartamentos Completo'!Y25</f>
        <v>0.1404494382022472</v>
      </c>
      <c r="Z25" s="9">
        <f>'Apartamentos Completo'!Z25</f>
        <v>1.131578947368421</v>
      </c>
      <c r="AA25" s="9">
        <f>'Apartamentos Completo'!AA25</f>
        <v>16.2</v>
      </c>
      <c r="AB25" s="9">
        <f>'Apartamentos Completo'!AB25</f>
        <v>16.2</v>
      </c>
      <c r="AC25" s="9">
        <f>'Apartamentos Completo'!AC25</f>
        <v>0.0645418326693227</v>
      </c>
      <c r="AD25" s="9">
        <f>'Apartamentos Completo'!AD25</f>
        <v>0.6230769230769231</v>
      </c>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row>
    <row r="26">
      <c r="A26" s="10">
        <f>'Apartamentos Completo'!A26</f>
        <v>137</v>
      </c>
      <c r="B26" t="str">
        <f>'Apartamentos Completo'!B26</f>
        <v>Apartamento</v>
      </c>
      <c r="C26" t="str">
        <f>'Apartamentos Completo'!C26</f>
        <v>nQn Aparts &amp; Suites </v>
      </c>
      <c r="D26" t="str">
        <f>'Apartamentos Completo'!D26</f>
        <v>Tripadvisor</v>
      </c>
      <c r="E26" s="9">
        <f>'Apartamentos Completo'!E26</f>
        <v>164</v>
      </c>
      <c r="F26" s="9">
        <f>'Apartamentos Completo'!F26</f>
        <v>32</v>
      </c>
      <c r="G26" s="9">
        <f>'Apartamentos Completo'!G26</f>
        <v>4.9</v>
      </c>
      <c r="H26" s="9">
        <f>'Apartamentos Completo'!H26</f>
        <v>4.8</v>
      </c>
      <c r="I26" s="9">
        <f>'Apartamentos Completo'!I26</f>
        <v>4.883673469387755</v>
      </c>
      <c r="J26" s="9">
        <f>'Apartamentos Completo'!J26</f>
        <v>1</v>
      </c>
      <c r="K26" s="9">
        <f>'Apartamentos Completo'!K26</f>
        <v>25</v>
      </c>
      <c r="L26" s="9">
        <f>'Apartamentos Completo'!L26</f>
        <v>0</v>
      </c>
      <c r="M26" s="9">
        <f>'Apartamentos Completo'!M26</f>
        <v>0</v>
      </c>
      <c r="N26" s="9">
        <f>'Apartamentos Completo'!N26</f>
        <v>0</v>
      </c>
      <c r="O26" s="9">
        <f>'Apartamentos Completo'!O26</f>
        <v>0</v>
      </c>
      <c r="P26" s="9">
        <f>'Apartamentos Completo'!P26</f>
        <v>708</v>
      </c>
      <c r="Q26" s="9">
        <f>'Apartamentos Completo'!Q26</f>
        <v>0.10000000000000053</v>
      </c>
      <c r="R26" s="9">
        <f>'Apartamentos Completo'!R26</f>
        <v>0.016326530612245094</v>
      </c>
      <c r="S26" s="9">
        <f>'Apartamentos Completo'!S26</f>
        <v>0.08367346938775544</v>
      </c>
      <c r="T26" s="9">
        <f>'Apartamentos Completo'!T26</f>
        <v>0.2768361581920904</v>
      </c>
      <c r="U26" s="9">
        <f>'Apartamentos Completo'!U26</f>
        <v>11.194630160726627</v>
      </c>
      <c r="V26" s="9">
        <f>'Apartamentos Completo'!V26</f>
        <v>0</v>
      </c>
      <c r="W26" s="9">
        <f>'Apartamentos Completo'!W26</f>
        <v>0</v>
      </c>
      <c r="X26" s="9">
        <f>'Apartamentos Completo'!X26</f>
        <v>0</v>
      </c>
      <c r="Y26" s="9">
        <f>'Apartamentos Completo'!Y26</f>
        <v>0</v>
      </c>
      <c r="Z26" s="9">
        <f>'Apartamentos Completo'!Z26</f>
        <v>5.125</v>
      </c>
      <c r="AA26" s="9">
        <f>'Apartamentos Completo'!AA26</f>
        <v>19.6</v>
      </c>
      <c r="AB26" s="9">
        <f>'Apartamentos Completo'!AB26</f>
        <v>19.6</v>
      </c>
      <c r="AC26" s="9">
        <f>'Apartamentos Completo'!AC26</f>
        <v>19.6</v>
      </c>
      <c r="AD26" s="9">
        <f>'Apartamentos Completo'!AD26</f>
        <v>19.6</v>
      </c>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row>
    <row r="27">
      <c r="A27" s="10">
        <f>'Apartamentos Completo'!A27</f>
        <v>138</v>
      </c>
      <c r="B27" t="str">
        <f>'Apartamentos Completo'!B27</f>
        <v>Apartamento</v>
      </c>
      <c r="C27" t="str">
        <f>'Apartamentos Completo'!C27</f>
        <v>Numa Solea Apartments</v>
      </c>
      <c r="D27" t="str">
        <f>'Apartamentos Completo'!D27</f>
        <v>Publicidad</v>
      </c>
      <c r="E27" s="9">
        <f>'Apartamentos Completo'!E27</f>
        <v>112</v>
      </c>
      <c r="F27" s="9">
        <f>'Apartamentos Completo'!F27</f>
        <v>15</v>
      </c>
      <c r="G27" s="9">
        <f>'Apartamentos Completo'!G27</f>
        <v>4.6</v>
      </c>
      <c r="H27" s="9">
        <f>'Apartamentos Completo'!H27</f>
        <v>4.5</v>
      </c>
      <c r="I27" s="9">
        <f>'Apartamentos Completo'!I27</f>
        <v>4.588188976377952</v>
      </c>
      <c r="J27" s="9">
        <f>'Apartamentos Completo'!J27</f>
        <v>1</v>
      </c>
      <c r="K27" s="9">
        <f>'Apartamentos Completo'!K27</f>
        <v>43</v>
      </c>
      <c r="L27" s="9">
        <f>'Apartamentos Completo'!L27</f>
        <v>0</v>
      </c>
      <c r="M27" s="9">
        <f>'Apartamentos Completo'!M27</f>
        <v>0</v>
      </c>
      <c r="N27" s="9">
        <f>'Apartamentos Completo'!N27</f>
        <v>0</v>
      </c>
      <c r="O27" s="9">
        <f>'Apartamentos Completo'!O27</f>
        <v>0</v>
      </c>
      <c r="P27" s="9">
        <f>'Apartamentos Completo'!P27</f>
        <v>920</v>
      </c>
      <c r="Q27" s="9">
        <f>'Apartamentos Completo'!Q27</f>
        <v>0.09999999999999964</v>
      </c>
      <c r="R27" s="9">
        <f>'Apartamentos Completo'!R27</f>
        <v>0.011811023622047223</v>
      </c>
      <c r="S27" s="9">
        <f>'Apartamentos Completo'!S27</f>
        <v>0.08818897637795242</v>
      </c>
      <c r="T27" s="9">
        <f>'Apartamentos Completo'!T27</f>
        <v>0.13804347826086957</v>
      </c>
      <c r="U27" s="9">
        <f>'Apartamentos Completo'!U27</f>
        <v>9.652649040953039</v>
      </c>
      <c r="V27" s="9">
        <f>'Apartamentos Completo'!V27</f>
        <v>0</v>
      </c>
      <c r="W27" s="9">
        <f>'Apartamentos Completo'!W27</f>
        <v>0</v>
      </c>
      <c r="X27" s="9">
        <f>'Apartamentos Completo'!X27</f>
        <v>0</v>
      </c>
      <c r="Y27" s="9">
        <f>'Apartamentos Completo'!Y27</f>
        <v>0</v>
      </c>
      <c r="Z27" s="9">
        <f>'Apartamentos Completo'!Z27</f>
        <v>7.466666666666667</v>
      </c>
      <c r="AA27" s="9">
        <f>'Apartamentos Completo'!AA27</f>
        <v>12.7</v>
      </c>
      <c r="AB27" s="9">
        <f>'Apartamentos Completo'!AB27</f>
        <v>12.7</v>
      </c>
      <c r="AC27" s="9">
        <f>'Apartamentos Completo'!AC27</f>
        <v>12.7</v>
      </c>
      <c r="AD27" s="9">
        <f>'Apartamentos Completo'!AD27</f>
        <v>12.7</v>
      </c>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row>
    <row r="28">
      <c r="A28" s="10">
        <f>'Apartamentos Completo'!A28</f>
        <v>139</v>
      </c>
      <c r="B28" t="str">
        <f>'Apartamentos Completo'!B28</f>
        <v>Apartamento</v>
      </c>
      <c r="C28" t="str">
        <f>'Apartamentos Completo'!C28</f>
        <v>Vac Luxyry Home Sevilla</v>
      </c>
      <c r="D28" t="str">
        <f>'Apartamentos Completo'!D28</f>
        <v>Publicidad</v>
      </c>
      <c r="E28" s="9">
        <f>'Apartamentos Completo'!E28</f>
        <v>68</v>
      </c>
      <c r="F28" s="9">
        <f>'Apartamentos Completo'!F28</f>
        <v>3</v>
      </c>
      <c r="G28" s="9">
        <f>'Apartamentos Completo'!G28</f>
        <v>4.6</v>
      </c>
      <c r="H28" s="9">
        <f>'Apartamentos Completo'!H28</f>
        <v>5</v>
      </c>
      <c r="I28" s="9">
        <f>'Apartamentos Completo'!I28</f>
        <v>4.616901408450704</v>
      </c>
      <c r="J28" s="9">
        <f>'Apartamentos Completo'!J28</f>
        <v>1</v>
      </c>
      <c r="K28" s="9">
        <f>'Apartamentos Completo'!K28</f>
        <v>85</v>
      </c>
      <c r="L28" s="9">
        <f>'Apartamentos Completo'!L28</f>
        <v>0</v>
      </c>
      <c r="M28" s="9">
        <f>'Apartamentos Completo'!M28</f>
        <v>0</v>
      </c>
      <c r="N28" s="9">
        <f>'Apartamentos Completo'!N28</f>
        <v>0</v>
      </c>
      <c r="O28" s="9">
        <f>'Apartamentos Completo'!O28</f>
        <v>0</v>
      </c>
      <c r="P28" s="9">
        <f>'Apartamentos Completo'!P28</f>
        <v>965</v>
      </c>
      <c r="Q28" s="9">
        <f>'Apartamentos Completo'!Q28</f>
        <v>0.40000000000000036</v>
      </c>
      <c r="R28" s="9">
        <f>'Apartamentos Completo'!R28</f>
        <v>0.016901408450704203</v>
      </c>
      <c r="S28" s="9">
        <f>'Apartamentos Completo'!S28</f>
        <v>0.38309859154929615</v>
      </c>
      <c r="T28" s="9">
        <f>'Apartamentos Completo'!T28</f>
        <v>0.07357512953367876</v>
      </c>
      <c r="U28" s="9">
        <f>'Apartamentos Completo'!U28</f>
        <v>8.547077277607222</v>
      </c>
      <c r="V28" s="9">
        <f>'Apartamentos Completo'!V28</f>
        <v>0</v>
      </c>
      <c r="W28" s="9">
        <f>'Apartamentos Completo'!W28</f>
        <v>0</v>
      </c>
      <c r="X28" s="9">
        <f>'Apartamentos Completo'!X28</f>
        <v>0</v>
      </c>
      <c r="Y28" s="9">
        <f>'Apartamentos Completo'!Y28</f>
        <v>0</v>
      </c>
      <c r="Z28" s="9">
        <f>'Apartamentos Completo'!Z28</f>
        <v>22.666666666666668</v>
      </c>
      <c r="AA28" s="9">
        <f>'Apartamentos Completo'!AA28</f>
        <v>7.1</v>
      </c>
      <c r="AB28" s="9">
        <f>'Apartamentos Completo'!AB28</f>
        <v>7.1</v>
      </c>
      <c r="AC28" s="9">
        <f>'Apartamentos Completo'!AC28</f>
        <v>7.1</v>
      </c>
      <c r="AD28" s="9">
        <f>'Apartamentos Completo'!AD28</f>
        <v>7.1</v>
      </c>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row>
    <row r="29">
      <c r="A29" s="10">
        <f>'Apartamentos Completo'!A29</f>
        <v>140</v>
      </c>
      <c r="B29" t="str">
        <f>'Apartamentos Completo'!B29</f>
        <v>Apartamento</v>
      </c>
      <c r="C29" t="str">
        <f>'Apartamentos Completo'!C29</f>
        <v>Apartamentos Luxsevilla Palacio</v>
      </c>
      <c r="D29" t="str">
        <f>'Apartamentos Completo'!D29</f>
        <v>Publicidad</v>
      </c>
      <c r="E29" s="9">
        <f>'Apartamentos Completo'!E29</f>
        <v>631</v>
      </c>
      <c r="F29" s="9">
        <f>'Apartamentos Completo'!F29</f>
        <v>65</v>
      </c>
      <c r="G29" s="9">
        <f>'Apartamentos Completo'!G29</f>
        <v>3.7</v>
      </c>
      <c r="H29" s="9">
        <f>'Apartamentos Completo'!H29</f>
        <v>2.6</v>
      </c>
      <c r="I29" s="9">
        <f>'Apartamentos Completo'!I29</f>
        <v>3.5972701149425292</v>
      </c>
      <c r="J29" s="9">
        <f>'Apartamentos Completo'!J29</f>
        <v>0</v>
      </c>
      <c r="K29" s="9">
        <f>'Apartamentos Completo'!K29</f>
        <v>0</v>
      </c>
      <c r="L29" s="9">
        <f>'Apartamentos Completo'!L29</f>
        <v>0</v>
      </c>
      <c r="M29" s="9">
        <f>'Apartamentos Completo'!M29</f>
        <v>25</v>
      </c>
      <c r="N29" s="9">
        <f>'Apartamentos Completo'!N29</f>
        <v>25</v>
      </c>
      <c r="O29" s="9">
        <f>'Apartamentos Completo'!O29</f>
        <v>12.5</v>
      </c>
      <c r="P29" s="9">
        <f>'Apartamentos Completo'!P29</f>
        <v>5780</v>
      </c>
      <c r="Q29" s="9">
        <f>'Apartamentos Completo'!Q29</f>
        <v>1.1</v>
      </c>
      <c r="R29" s="9">
        <f>'Apartamentos Completo'!R29</f>
        <v>0.10272988505747094</v>
      </c>
      <c r="S29" s="9">
        <f>'Apartamentos Completo'!S29</f>
        <v>0.9972701149425292</v>
      </c>
      <c r="T29" s="9">
        <f>'Apartamentos Completo'!T29</f>
        <v>0.12041522491349481</v>
      </c>
      <c r="U29" s="9">
        <f>'Apartamentos Completo'!U29</f>
        <v>10.225633266110583</v>
      </c>
      <c r="V29" s="9">
        <f>'Apartamentos Completo'!V29</f>
        <v>0</v>
      </c>
      <c r="W29" s="9">
        <f>'Apartamentos Completo'!W29</f>
        <v>0.43252595155709345</v>
      </c>
      <c r="X29" s="9">
        <f>'Apartamentos Completo'!X29</f>
        <v>0.43252595155709345</v>
      </c>
      <c r="Y29" s="9">
        <f>'Apartamentos Completo'!Y29</f>
        <v>0.21626297577854672</v>
      </c>
      <c r="Z29" s="9">
        <f>'Apartamentos Completo'!Z29</f>
        <v>9.707692307692307</v>
      </c>
      <c r="AA29" s="9">
        <f>'Apartamentos Completo'!AA29</f>
        <v>69.6</v>
      </c>
      <c r="AB29" s="9">
        <f>'Apartamentos Completo'!AB29</f>
        <v>0.27729083665338644</v>
      </c>
      <c r="AC29" s="9">
        <f>'Apartamentos Completo'!AC29</f>
        <v>0.27729083665338644</v>
      </c>
      <c r="AD29" s="9">
        <f>'Apartamentos Completo'!AD29</f>
        <v>0.5523809523809524</v>
      </c>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row>
    <row r="30">
      <c r="A30" s="10">
        <f>'Apartamentos Completo'!A30</f>
        <v>141</v>
      </c>
      <c r="B30" t="str">
        <f>'Apartamentos Completo'!B30</f>
        <v>Apartamento</v>
      </c>
      <c r="C30" t="str">
        <f>'Apartamentos Completo'!C30</f>
        <v>Smartr Sevilla Puente de Triana</v>
      </c>
      <c r="D30" t="str">
        <f>'Apartamentos Completo'!D30</f>
        <v>Publicidad</v>
      </c>
      <c r="E30" s="9">
        <f>'Apartamentos Completo'!E30</f>
        <v>175</v>
      </c>
      <c r="F30" s="9">
        <f>'Apartamentos Completo'!F30</f>
        <v>2</v>
      </c>
      <c r="G30" s="9">
        <f>'Apartamentos Completo'!G30</f>
        <v>4.7</v>
      </c>
      <c r="H30" s="9">
        <f>'Apartamentos Completo'!H30</f>
        <v>3.5</v>
      </c>
      <c r="I30" s="9">
        <f>'Apartamentos Completo'!I30</f>
        <v>4.686440677966102</v>
      </c>
      <c r="J30" s="9">
        <f>'Apartamentos Completo'!J30</f>
        <v>0</v>
      </c>
      <c r="K30" s="9">
        <f>'Apartamentos Completo'!K30</f>
        <v>0</v>
      </c>
      <c r="L30" s="9">
        <f>'Apartamentos Completo'!L30</f>
        <v>0</v>
      </c>
      <c r="M30" s="9">
        <f>'Apartamentos Completo'!M30</f>
        <v>0</v>
      </c>
      <c r="N30" s="9">
        <f>'Apartamentos Completo'!N30</f>
        <v>0</v>
      </c>
      <c r="O30" s="9">
        <f>'Apartamentos Completo'!O30</f>
        <v>0</v>
      </c>
      <c r="P30" s="9">
        <f>'Apartamentos Completo'!P30</f>
        <v>887</v>
      </c>
      <c r="Q30" s="9">
        <f>'Apartamentos Completo'!Q30</f>
        <v>1.2000000000000002</v>
      </c>
      <c r="R30" s="9">
        <f>'Apartamentos Completo'!R30</f>
        <v>0.013559322033898091</v>
      </c>
      <c r="S30" s="9">
        <f>'Apartamentos Completo'!S30</f>
        <v>1.186440677966102</v>
      </c>
      <c r="T30" s="9">
        <f>'Apartamentos Completo'!T30</f>
        <v>0.1995490417136415</v>
      </c>
      <c r="U30" s="9">
        <f>'Apartamentos Completo'!U30</f>
        <v>10.5349933584583</v>
      </c>
      <c r="V30" s="9">
        <f>'Apartamentos Completo'!V30</f>
        <v>0</v>
      </c>
      <c r="W30" s="9">
        <f>'Apartamentos Completo'!W30</f>
        <v>0</v>
      </c>
      <c r="X30" s="9">
        <f>'Apartamentos Completo'!X30</f>
        <v>0</v>
      </c>
      <c r="Y30" s="9">
        <f>'Apartamentos Completo'!Y30</f>
        <v>0</v>
      </c>
      <c r="Z30" s="9">
        <f>'Apartamentos Completo'!Z30</f>
        <v>87.5</v>
      </c>
      <c r="AA30" s="9">
        <f>'Apartamentos Completo'!AA30</f>
        <v>17.7</v>
      </c>
      <c r="AB30" s="9">
        <f>'Apartamentos Completo'!AB30</f>
        <v>17.7</v>
      </c>
      <c r="AC30" s="9">
        <f>'Apartamentos Completo'!AC30</f>
        <v>17.7</v>
      </c>
      <c r="AD30" s="9">
        <f>'Apartamentos Completo'!AD30</f>
        <v>17.7</v>
      </c>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row>
    <row r="31">
      <c r="A31" s="10">
        <f>'Apartamentos Completo'!A31</f>
        <v>142</v>
      </c>
      <c r="B31" t="str">
        <f>'Apartamentos Completo'!B31</f>
        <v>Apartamento</v>
      </c>
      <c r="C31" t="str">
        <f>'Apartamentos Completo'!C31</f>
        <v>Smartr Sevilla Las Dueñas</v>
      </c>
      <c r="D31" t="str">
        <f>'Apartamentos Completo'!D31</f>
        <v>Publicidad</v>
      </c>
      <c r="E31" s="9">
        <f>'Apartamentos Completo'!E31</f>
        <v>156</v>
      </c>
      <c r="F31" s="9">
        <f>'Apartamentos Completo'!F31</f>
        <v>207</v>
      </c>
      <c r="G31" s="9">
        <f>'Apartamentos Completo'!G31</f>
        <v>4.3</v>
      </c>
      <c r="H31" s="9">
        <f>'Apartamentos Completo'!H31</f>
        <v>4.3</v>
      </c>
      <c r="I31" s="9">
        <f>'Apartamentos Completo'!I31</f>
        <v>4.3</v>
      </c>
      <c r="J31" s="9">
        <f>'Apartamentos Completo'!J31</f>
        <v>1</v>
      </c>
      <c r="K31" s="9">
        <f>'Apartamentos Completo'!K31</f>
        <v>27</v>
      </c>
      <c r="L31" s="9">
        <f>'Apartamentos Completo'!L31</f>
        <v>0</v>
      </c>
      <c r="M31" s="9">
        <f>'Apartamentos Completo'!M31</f>
        <v>0</v>
      </c>
      <c r="N31" s="9">
        <f>'Apartamentos Completo'!N31</f>
        <v>0</v>
      </c>
      <c r="O31" s="9">
        <f>'Apartamentos Completo'!O31</f>
        <v>0</v>
      </c>
      <c r="P31" s="9">
        <f>'Apartamentos Completo'!P31</f>
        <v>989</v>
      </c>
      <c r="Q31" s="9">
        <f>'Apartamentos Completo'!Q31</f>
        <v>0</v>
      </c>
      <c r="R31" s="9">
        <f>'Apartamentos Completo'!R31</f>
        <v>0</v>
      </c>
      <c r="S31" s="9">
        <f>'Apartamentos Completo'!S31</f>
        <v>0</v>
      </c>
      <c r="T31" s="9">
        <f>'Apartamentos Completo'!T31</f>
        <v>0.36703741152679475</v>
      </c>
      <c r="U31" s="9">
        <f>'Apartamentos Completo'!U31</f>
        <v>11.007598487655283</v>
      </c>
      <c r="V31" s="9">
        <f>'Apartamentos Completo'!V31</f>
        <v>0</v>
      </c>
      <c r="W31" s="9">
        <f>'Apartamentos Completo'!W31</f>
        <v>0</v>
      </c>
      <c r="X31" s="9">
        <f>'Apartamentos Completo'!X31</f>
        <v>0</v>
      </c>
      <c r="Y31" s="9">
        <f>'Apartamentos Completo'!Y31</f>
        <v>0</v>
      </c>
      <c r="Z31" s="9">
        <f>'Apartamentos Completo'!Z31</f>
        <v>0.7536231884057971</v>
      </c>
      <c r="AA31" s="9">
        <f>'Apartamentos Completo'!AA31</f>
        <v>36.3</v>
      </c>
      <c r="AB31" s="9">
        <f>'Apartamentos Completo'!AB31</f>
        <v>36.3</v>
      </c>
      <c r="AC31" s="9">
        <f>'Apartamentos Completo'!AC31</f>
        <v>36.3</v>
      </c>
      <c r="AD31" s="9">
        <f>'Apartamentos Completo'!AD31</f>
        <v>36.3</v>
      </c>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sheetData>
  <pageMargins left="0.699999988079071" right="0.699999988079071" top="0.75" bottom="0.75" header="0.30000001192092896" footer="0.30000001192092896"/>
  <pageSetup orientation="portrait"/>
</worksheet>
</file>

<file path=xl/worksheets/sheet17.xml><?xml version="1.0" encoding="utf-8"?>
<worksheet xmlns="http://schemas.openxmlformats.org/spreadsheetml/2006/main" xmlns:r="http://schemas.openxmlformats.org/officeDocument/2006/relationships">
  <dimension ref="A1:AG143"/>
  <sheetViews>
    <sheetView tabSelected="1" zoomScale="85" zoomScaleNormal="85" topLeftCell="E29" workbookViewId="0">
      <selection activeCell="AJ157" sqref="AJ157"/>
    </sheetView>
  </sheetViews>
  <sheetFormatPr defaultColWidth="11.421875" defaultRowHeight="15"/>
  <cols>
    <col min="1" max="19" width="11.421875" style="9"/>
    <col min="20" max="20" width="13.00390625" style="9" customWidth="1"/>
    <col min="21" max="22" width="11.421875" style="9"/>
    <col min="23" max="23" width="13.8515625" style="9" customWidth="1"/>
    <col min="24" max="24" width="12.57421875" style="9" customWidth="1"/>
    <col min="25" max="25" width="13.00390625" style="9" customWidth="1"/>
    <col min="26" max="30" width="11.421875" style="9"/>
    <col min="32" max="16384" width="11.421875" style="9"/>
  </cols>
  <sheetData>
    <row r="1" ht="30.75">
      <c r="A1" s="9" t="s">
        <v>72</v>
      </c>
      <c r="B1" s="9" t="s">
        <v>73</v>
      </c>
      <c r="C1" s="9" t="s">
        <v>74</v>
      </c>
      <c r="D1" s="9" t="s">
        <v>75</v>
      </c>
      <c r="E1" s="9" t="s">
        <v>76</v>
      </c>
      <c r="F1" s="9" t="s">
        <v>77</v>
      </c>
      <c r="G1" s="9" t="s">
        <v>78</v>
      </c>
      <c r="H1" s="9" t="s">
        <v>79</v>
      </c>
      <c r="I1" s="9" t="s">
        <v>80</v>
      </c>
      <c r="J1" s="9" t="s">
        <v>81</v>
      </c>
      <c r="K1" s="9" t="s">
        <v>82</v>
      </c>
      <c r="L1" s="9" t="s">
        <v>83</v>
      </c>
      <c r="M1" s="9" t="s">
        <v>84</v>
      </c>
      <c r="N1" s="9" t="s">
        <v>85</v>
      </c>
      <c r="O1" s="9" t="s">
        <v>86</v>
      </c>
      <c r="P1" s="9" t="s">
        <v>87</v>
      </c>
      <c r="Q1" s="9" t="s">
        <v>88</v>
      </c>
      <c r="R1" s="9" t="s">
        <v>89</v>
      </c>
      <c r="S1" s="9" t="s">
        <v>90</v>
      </c>
      <c r="T1" s="9" t="s">
        <v>91</v>
      </c>
      <c r="U1" s="9" t="s">
        <v>92</v>
      </c>
      <c r="V1" s="9" t="s">
        <v>93</v>
      </c>
      <c r="W1" s="9" t="s">
        <v>94</v>
      </c>
      <c r="X1" s="9" t="s">
        <v>95</v>
      </c>
      <c r="Y1" s="9" t="s">
        <v>96</v>
      </c>
      <c r="Z1" s="9" t="s">
        <v>97</v>
      </c>
      <c r="AA1" s="9" t="s">
        <v>98</v>
      </c>
      <c r="AB1" s="9" t="s">
        <v>99</v>
      </c>
      <c r="AC1" s="9" t="s">
        <v>100</v>
      </c>
      <c r="AD1" s="9" t="s">
        <v>101</v>
      </c>
      <c r="AE1" s="45" t="s">
        <v>217</v>
      </c>
      <c r="AF1" s="9" t="s">
        <v>218</v>
      </c>
      <c r="AG1" s="9" t="s">
        <v>219</v>
      </c>
    </row>
    <row r="2">
      <c r="A2" s="10">
        <f>'h1'!A2</f>
        <v>1</v>
      </c>
      <c r="B2" t="str">
        <f>'h1'!B2</f>
        <v>Atracción Turística</v>
      </c>
      <c r="C2" t="str">
        <f>'h1'!C2</f>
        <v>Plaza de España</v>
      </c>
      <c r="D2" t="str">
        <f>'h1'!D2</f>
        <v>TripAdvisor</v>
      </c>
      <c r="E2" s="9">
        <f>'h1'!E2</f>
        <v>181284</v>
      </c>
      <c r="F2" s="9">
        <f>'h1'!F2</f>
        <v>45480</v>
      </c>
      <c r="G2" s="9">
        <f>'h1'!G2</f>
        <v>4.8</v>
      </c>
      <c r="H2" s="9">
        <f>'h1'!H2</f>
        <v>4.8</v>
      </c>
      <c r="I2" s="9">
        <f>'h1'!I2</f>
        <v>4.8</v>
      </c>
      <c r="J2" s="9">
        <f>'h1'!J2</f>
        <v>1</v>
      </c>
      <c r="K2" s="9">
        <f>'h1'!K2</f>
        <v>1</v>
      </c>
      <c r="L2" s="9">
        <f>'h1'!L2</f>
        <v>0</v>
      </c>
      <c r="M2" s="9">
        <f>'h1'!M2</f>
        <v>0</v>
      </c>
      <c r="N2" s="9">
        <f>'h1'!N2</f>
        <v>0</v>
      </c>
      <c r="O2" s="9">
        <f>'h1'!O2</f>
        <v>0</v>
      </c>
      <c r="P2" s="9">
        <f>'h1'!P2</f>
        <v>1120</v>
      </c>
      <c r="Q2" s="9">
        <f>'h1'!Q2</f>
        <v>0</v>
      </c>
      <c r="R2" s="9">
        <f>'h1'!R2</f>
        <v>0</v>
      </c>
      <c r="S2" s="9">
        <f>'h1'!S2</f>
        <v>0</v>
      </c>
      <c r="T2" s="9">
        <f>'h1'!T2</f>
        <v>202.46785714285716</v>
      </c>
      <c r="U2" s="9">
        <f>'h1'!U2</f>
        <v>25.706755723762367</v>
      </c>
      <c r="V2" s="9">
        <f>'h1'!V2</f>
        <v>0</v>
      </c>
      <c r="W2" s="9">
        <f>'h1'!W2</f>
        <v>0</v>
      </c>
      <c r="X2" s="9">
        <f>'h1'!X2</f>
        <v>0</v>
      </c>
      <c r="Y2" s="9">
        <f>'h1'!Y2</f>
        <v>0</v>
      </c>
      <c r="Z2" s="9">
        <f>'h1'!Z2</f>
        <v>3.986015831134565</v>
      </c>
      <c r="AA2" s="9">
        <f>'h1'!AA2</f>
        <v>22676.4</v>
      </c>
      <c r="AB2" s="9">
        <f>'h1'!AB2</f>
        <v>22676.4</v>
      </c>
      <c r="AC2" s="9">
        <f>'h1'!AC2</f>
        <v>22676.4</v>
      </c>
      <c r="AD2" s="9">
        <f>'h1'!AD2</f>
        <v>22676.4</v>
      </c>
      <c r="AE2" s="46" t="s">
        <v>220</v>
      </c>
      <c r="AF2" s="9">
        <v>37.3771957</v>
      </c>
      <c r="AG2" s="9">
        <v>-5.986893</v>
      </c>
    </row>
    <row r="3">
      <c r="A3" s="10">
        <f>'h1'!A3</f>
        <v>2</v>
      </c>
      <c r="B3" t="str">
        <f>'h1'!B3</f>
        <v>Atracción Turística</v>
      </c>
      <c r="C3" t="str">
        <f>'h1'!C3</f>
        <v>Real Alcázar de Sevilla</v>
      </c>
      <c r="D3" t="str">
        <f>'h1'!D3</f>
        <v>TripAdvisor</v>
      </c>
      <c r="E3" s="9">
        <f>'h1'!E3</f>
        <v>98150</v>
      </c>
      <c r="F3" s="9">
        <f>'h1'!F3</f>
        <v>36806</v>
      </c>
      <c r="G3" s="9">
        <f>'h1'!G3</f>
        <v>4.7</v>
      </c>
      <c r="H3" s="9">
        <f>'h1'!H3</f>
        <v>4.7</v>
      </c>
      <c r="I3" s="9">
        <f>'h1'!I3</f>
        <v>4.699999999999999</v>
      </c>
      <c r="J3" s="9">
        <f>'h1'!J3</f>
        <v>1</v>
      </c>
      <c r="K3" s="9">
        <f>'h1'!K3</f>
        <v>2</v>
      </c>
      <c r="L3" s="9">
        <f>'h1'!L3</f>
        <v>0</v>
      </c>
      <c r="M3" s="9">
        <f>'h1'!M3</f>
        <v>0</v>
      </c>
      <c r="N3" s="9">
        <f>'h1'!N3</f>
        <v>0</v>
      </c>
      <c r="O3" s="9">
        <f>'h1'!O3</f>
        <v>0</v>
      </c>
      <c r="P3" s="9">
        <f>'h1'!P3</f>
        <v>400</v>
      </c>
      <c r="Q3" s="9">
        <f>'h1'!Q3</f>
        <v>0</v>
      </c>
      <c r="R3" s="9">
        <f>'h1'!R3</f>
        <v>8.881784197001252E-16</v>
      </c>
      <c r="S3" s="9">
        <f>'h1'!S3</f>
        <v>8.881784197001252E-16</v>
      </c>
      <c r="T3" s="9">
        <f>'h1'!T3</f>
        <v>337.39</v>
      </c>
      <c r="U3" s="9">
        <f>'h1'!U3</f>
        <v>24.111903328681457</v>
      </c>
      <c r="V3" s="9">
        <f>'h1'!V3</f>
        <v>0</v>
      </c>
      <c r="W3" s="9">
        <f>'h1'!W3</f>
        <v>0</v>
      </c>
      <c r="X3" s="9">
        <f>'h1'!X3</f>
        <v>0</v>
      </c>
      <c r="Y3" s="9">
        <f>'h1'!Y3</f>
        <v>0</v>
      </c>
      <c r="Z3" s="9">
        <f>'h1'!Z3</f>
        <v>2.666684779655491</v>
      </c>
      <c r="AA3" s="9">
        <f>'h1'!AA3</f>
        <v>13495.6</v>
      </c>
      <c r="AB3" s="9">
        <f>'h1'!AB3</f>
        <v>13495.6</v>
      </c>
      <c r="AC3" s="9">
        <f>'h1'!AC3</f>
        <v>13495.6</v>
      </c>
      <c r="AD3" s="9">
        <f>'h1'!AD3</f>
        <v>13495.6</v>
      </c>
      <c r="AE3" s="46" t="s">
        <v>220</v>
      </c>
      <c r="AF3" s="9">
        <v>37.3830519</v>
      </c>
      <c r="AG3" s="9">
        <v>-5.9902257</v>
      </c>
    </row>
    <row r="4">
      <c r="A4" s="10">
        <f>'h1'!A4</f>
        <v>3</v>
      </c>
      <c r="B4" t="str">
        <f>'h1'!B4</f>
        <v>Atracción Turística</v>
      </c>
      <c r="C4" t="str">
        <f>'h1'!C4</f>
        <v>Catedral de Sevilla</v>
      </c>
      <c r="D4" t="str">
        <f>'h1'!D4</f>
        <v>TripAdvisor</v>
      </c>
      <c r="E4" s="9">
        <f>'h1'!E4</f>
        <v>57330</v>
      </c>
      <c r="F4" s="9">
        <f>'h1'!F4</f>
        <v>27294</v>
      </c>
      <c r="G4" s="9">
        <f>'h1'!G4</f>
        <v>4.8</v>
      </c>
      <c r="H4" s="9">
        <f>'h1'!H4</f>
        <v>4.6</v>
      </c>
      <c r="I4" s="9">
        <f>'h1'!I4</f>
        <v>4.735493477027794</v>
      </c>
      <c r="J4" s="9">
        <f>'h1'!J4</f>
        <v>1</v>
      </c>
      <c r="K4" s="9">
        <f>'h1'!K4</f>
        <v>3</v>
      </c>
      <c r="L4" s="9">
        <f>'h1'!L4</f>
        <v>0</v>
      </c>
      <c r="M4" s="9">
        <f>'h1'!M4</f>
        <v>0</v>
      </c>
      <c r="N4" s="9">
        <f>'h1'!N4</f>
        <v>0</v>
      </c>
      <c r="O4" s="9">
        <f>'h1'!O4</f>
        <v>0</v>
      </c>
      <c r="P4" s="9">
        <f>'h1'!P4</f>
        <v>59</v>
      </c>
      <c r="Q4" s="9">
        <f>'h1'!Q4</f>
        <v>0.20000000000000018</v>
      </c>
      <c r="R4" s="9">
        <f>'h1'!R4</f>
        <v>0.06450652297220572</v>
      </c>
      <c r="S4" s="9">
        <f>'h1'!S4</f>
        <v>0.13549347702779446</v>
      </c>
      <c r="T4" s="9">
        <f>'h1'!T4</f>
        <v>1434.3050847457628</v>
      </c>
      <c r="U4" s="9">
        <f>'h1'!U4</f>
        <v>23.334113562582065</v>
      </c>
      <c r="V4" s="9">
        <f>'h1'!V4</f>
        <v>0</v>
      </c>
      <c r="W4" s="9">
        <f>'h1'!W4</f>
        <v>0</v>
      </c>
      <c r="X4" s="9">
        <f>'h1'!X4</f>
        <v>0</v>
      </c>
      <c r="Y4" s="9">
        <f>'h1'!Y4</f>
        <v>0</v>
      </c>
      <c r="Z4" s="9">
        <f>'h1'!Z4</f>
        <v>2.1004616399208618</v>
      </c>
      <c r="AA4" s="9">
        <f>'h1'!AA4</f>
        <v>8462.4</v>
      </c>
      <c r="AB4" s="9">
        <f>'h1'!AB4</f>
        <v>8462.4</v>
      </c>
      <c r="AC4" s="9">
        <f>'h1'!AC4</f>
        <v>8462.4</v>
      </c>
      <c r="AD4" s="9">
        <f>'h1'!AD4</f>
        <v>8462.4</v>
      </c>
      <c r="AE4" s="46" t="s">
        <v>220</v>
      </c>
      <c r="AF4" s="9">
        <v>37.3858247</v>
      </c>
      <c r="AG4" s="9">
        <v>-5.9931068</v>
      </c>
    </row>
    <row r="5" ht="30.75">
      <c r="A5" s="10">
        <f>'h1'!A5</f>
        <v>4</v>
      </c>
      <c r="B5" t="str">
        <f>'h1'!B5</f>
        <v>Atracción Turística</v>
      </c>
      <c r="C5" t="str">
        <f>'h1'!C5</f>
        <v>Setas de Sevilla</v>
      </c>
      <c r="D5" t="str">
        <f>'h1'!D5</f>
        <v>TripAdvisor</v>
      </c>
      <c r="E5" s="9">
        <f>'h1'!E5</f>
        <v>105610</v>
      </c>
      <c r="F5" s="9">
        <f>'h1'!F5</f>
        <v>11354</v>
      </c>
      <c r="G5" s="9">
        <f>'h1'!G5</f>
        <v>4.4</v>
      </c>
      <c r="H5" s="9">
        <f>'h1'!H5</f>
        <v>4</v>
      </c>
      <c r="I5" s="9">
        <f>'h1'!I5</f>
        <v>4.361170958585548</v>
      </c>
      <c r="J5" s="9">
        <f>'h1'!J5</f>
        <v>1</v>
      </c>
      <c r="K5" s="9">
        <f>'h1'!K5</f>
        <v>5</v>
      </c>
      <c r="L5" s="9">
        <f>'h1'!L5</f>
        <v>150</v>
      </c>
      <c r="M5" s="9">
        <f>'h1'!M5</f>
        <v>0</v>
      </c>
      <c r="N5" s="9">
        <f>'h1'!N5</f>
        <v>0</v>
      </c>
      <c r="O5" s="9">
        <f>'h1'!O5</f>
        <v>75</v>
      </c>
      <c r="P5" s="9">
        <f>'h1'!P5</f>
        <v>793</v>
      </c>
      <c r="Q5" s="9">
        <f>'h1'!Q5</f>
        <v>0.40000000000000036</v>
      </c>
      <c r="R5" s="9">
        <f>'h1'!R5</f>
        <v>0.03882904141445209</v>
      </c>
      <c r="S5" s="9">
        <f>'h1'!S5</f>
        <v>0.36117095858554826</v>
      </c>
      <c r="T5" s="9">
        <f>'h1'!T5</f>
        <v>147.4955863808323</v>
      </c>
      <c r="U5" s="9">
        <f>'h1'!U5</f>
        <v>22.102642124059276</v>
      </c>
      <c r="V5" s="9">
        <f>'h1'!V5</f>
        <v>18.915510718789406</v>
      </c>
      <c r="W5" s="9">
        <f>'h1'!W5</f>
        <v>0</v>
      </c>
      <c r="X5" s="9">
        <f>'h1'!X5</f>
        <v>0</v>
      </c>
      <c r="Y5" s="9">
        <f>'h1'!Y5</f>
        <v>9.457755359394703</v>
      </c>
      <c r="Z5" s="9">
        <f>'h1'!Z5</f>
        <v>9.301567729434561</v>
      </c>
      <c r="AA5" s="9">
        <f>'h1'!AA5</f>
        <v>7.792405063291139</v>
      </c>
      <c r="AB5" s="9">
        <f>'h1'!AB5</f>
        <v>11696.4</v>
      </c>
      <c r="AC5" s="9">
        <f>'h1'!AC5</f>
        <v>11696.4</v>
      </c>
      <c r="AD5" s="9">
        <f>'h1'!AD5</f>
        <v>15.574434087882823</v>
      </c>
      <c r="AE5" s="46" t="s">
        <v>221</v>
      </c>
      <c r="AF5" s="9">
        <v>37.3929799</v>
      </c>
      <c r="AG5" s="9">
        <v>-5.9921608</v>
      </c>
    </row>
    <row r="6" ht="30.75">
      <c r="A6" s="10">
        <f>'h1'!A6</f>
        <v>5</v>
      </c>
      <c r="B6" t="str">
        <f>'h1'!B6</f>
        <v>Atracción Turística</v>
      </c>
      <c r="C6" t="str">
        <f>'h1'!C6</f>
        <v>Parque de María Luisa</v>
      </c>
      <c r="D6" t="str">
        <f>'h1'!D6</f>
        <v>TripAdvisor</v>
      </c>
      <c r="E6" s="9">
        <f>'h1'!E6</f>
        <v>41265</v>
      </c>
      <c r="F6" s="9">
        <f>'h1'!F6</f>
        <v>7162</v>
      </c>
      <c r="G6" s="9">
        <f>'h1'!G6</f>
        <v>4.8</v>
      </c>
      <c r="H6" s="9">
        <f>'h1'!H6</f>
        <v>4.5</v>
      </c>
      <c r="I6" s="9">
        <f>'h1'!I6</f>
        <v>4.755632188655089</v>
      </c>
      <c r="J6" s="9">
        <f>'h1'!J6</f>
        <v>1</v>
      </c>
      <c r="K6" s="9">
        <f>'h1'!K6</f>
        <v>6</v>
      </c>
      <c r="L6" s="9">
        <f>'h1'!L6</f>
        <v>1500</v>
      </c>
      <c r="M6" s="9">
        <f>'h1'!M6</f>
        <v>0</v>
      </c>
      <c r="N6" s="9">
        <f>'h1'!N6</f>
        <v>0</v>
      </c>
      <c r="O6" s="9">
        <f>'h1'!O6</f>
        <v>750</v>
      </c>
      <c r="P6" s="9">
        <f>'h1'!P6</f>
        <v>1450</v>
      </c>
      <c r="Q6" s="9">
        <f>'h1'!Q6</f>
        <v>0.2999999999999998</v>
      </c>
      <c r="R6" s="9">
        <f>'h1'!R6</f>
        <v>0.044367811344910635</v>
      </c>
      <c r="S6" s="9">
        <f>'h1'!S6</f>
        <v>0.2556321886550892</v>
      </c>
      <c r="T6" s="9">
        <f>'h1'!T6</f>
        <v>33.39793103448276</v>
      </c>
      <c r="U6" s="9">
        <f>'h1'!U6</f>
        <v>22.280553234628318</v>
      </c>
      <c r="V6" s="9">
        <f>'h1'!V6</f>
        <v>103.44827586206897</v>
      </c>
      <c r="W6" s="9">
        <f>'h1'!W6</f>
        <v>0</v>
      </c>
      <c r="X6" s="9">
        <f>'h1'!X6</f>
        <v>0</v>
      </c>
      <c r="Y6" s="9">
        <f>'h1'!Y6</f>
        <v>51.724137931034484</v>
      </c>
      <c r="Z6" s="9">
        <f>'h1'!Z6</f>
        <v>5.761658754537838</v>
      </c>
      <c r="AA6" s="9">
        <f>'h1'!AA6</f>
        <v>0.322825144990334</v>
      </c>
      <c r="AB6" s="9">
        <f>'h1'!AB6</f>
        <v>4842.7</v>
      </c>
      <c r="AC6" s="9">
        <f>'h1'!AC6</f>
        <v>4842.7</v>
      </c>
      <c r="AD6" s="9">
        <f>'h1'!AD6</f>
        <v>0.6456072523663511</v>
      </c>
      <c r="AE6" s="46" t="s">
        <v>221</v>
      </c>
      <c r="AF6" s="9">
        <v>37.3761156</v>
      </c>
      <c r="AG6" s="9">
        <v>-5.9893645</v>
      </c>
    </row>
    <row r="7" ht="30.75">
      <c r="A7" s="10">
        <f>'h1'!A7</f>
        <v>6</v>
      </c>
      <c r="B7" t="str">
        <f>'h1'!B7</f>
        <v>Atracción Turística</v>
      </c>
      <c r="C7" t="str">
        <f>'h1'!C7</f>
        <v>La Giralda (Punto 0)</v>
      </c>
      <c r="D7" t="str">
        <f>'h1'!D7</f>
        <v>TripAdvisor</v>
      </c>
      <c r="E7" s="9">
        <f>'h1'!E7</f>
        <v>55912</v>
      </c>
      <c r="F7" s="9">
        <f>'h1'!F7</f>
        <v>11034</v>
      </c>
      <c r="G7" s="9">
        <f>'h1'!G7</f>
        <v>4.7</v>
      </c>
      <c r="H7" s="9">
        <f>'h1'!H7</f>
        <v>4.6</v>
      </c>
      <c r="I7" s="9">
        <f>'h1'!I7</f>
        <v>4.683518059331402</v>
      </c>
      <c r="J7" s="9">
        <f>'h1'!J7</f>
        <v>1</v>
      </c>
      <c r="K7" s="9">
        <f>'h1'!K7</f>
        <v>7</v>
      </c>
      <c r="L7" s="9">
        <f>'h1'!L7</f>
        <v>0</v>
      </c>
      <c r="M7" s="9">
        <f>'h1'!M7</f>
        <v>1683</v>
      </c>
      <c r="N7" s="9">
        <f>'h1'!N7</f>
        <v>100</v>
      </c>
      <c r="O7" s="9">
        <f>'h1'!O7</f>
        <v>683.2</v>
      </c>
      <c r="P7" s="9">
        <f>'h1'!P7</f>
        <v>0.01</v>
      </c>
      <c r="Q7" s="9">
        <f>'h1'!Q7</f>
        <v>0.10000000000000053</v>
      </c>
      <c r="R7" s="9">
        <f>'h1'!R7</f>
        <v>0.016481940668597872</v>
      </c>
      <c r="S7" s="9">
        <f>'h1'!S7</f>
        <v>0.08351805933140266</v>
      </c>
      <c r="T7" s="9">
        <f>'h1'!T7</f>
        <v>6694600</v>
      </c>
      <c r="U7" s="9">
        <f>'h1'!U7</f>
        <v>22.601368468860684</v>
      </c>
      <c r="V7" s="9">
        <f>'h1'!V7</f>
        <v>0</v>
      </c>
      <c r="W7" s="9">
        <f>'h1'!W7</f>
        <v>16830000</v>
      </c>
      <c r="X7" s="9">
        <f>'h1'!X7</f>
        <v>1000000</v>
      </c>
      <c r="Y7" s="9">
        <f>'h1'!Y7</f>
        <v>6832000</v>
      </c>
      <c r="Z7" s="9">
        <f>'h1'!Z7</f>
        <v>5.067246692042777</v>
      </c>
      <c r="AA7" s="9">
        <f>'h1'!AA7</f>
        <v>6694.6</v>
      </c>
      <c r="AB7" s="9">
        <f>'h1'!AB7</f>
        <v>0.39775414413879157</v>
      </c>
      <c r="AC7" s="9">
        <f>'h1'!AC7</f>
        <v>6.687912087912089</v>
      </c>
      <c r="AD7" s="9">
        <f>'h1'!AD7</f>
        <v>0.9797453534318747</v>
      </c>
      <c r="AE7" s="46" t="s">
        <v>222</v>
      </c>
      <c r="AF7" s="9">
        <v>37.3861784</v>
      </c>
      <c r="AG7" s="9">
        <v>-5.9926137</v>
      </c>
    </row>
    <row r="8">
      <c r="A8" s="10">
        <f>'h1'!A8</f>
        <v>7</v>
      </c>
      <c r="B8" t="str">
        <f>'h1'!B8</f>
        <v>Atracción Turística</v>
      </c>
      <c r="C8" t="str">
        <f>'h1'!C8</f>
        <v>Casa de Pilatos</v>
      </c>
      <c r="D8" t="str">
        <f>'h1'!D8</f>
        <v>TripAdvisor</v>
      </c>
      <c r="E8" s="9">
        <f>'h1'!E8</f>
        <v>13802</v>
      </c>
      <c r="F8" s="9">
        <f>'h1'!F8</f>
        <v>3929</v>
      </c>
      <c r="G8" s="9">
        <f>'h1'!G8</f>
        <v>4.4</v>
      </c>
      <c r="H8" s="9">
        <f>'h1'!H8</f>
        <v>4.3</v>
      </c>
      <c r="I8" s="9">
        <f>'h1'!I8</f>
        <v>4.377841069313631</v>
      </c>
      <c r="J8" s="9">
        <f>'h1'!J8</f>
        <v>1</v>
      </c>
      <c r="K8" s="9">
        <f>'h1'!K8</f>
        <v>8</v>
      </c>
      <c r="L8" s="9">
        <f>'h1'!L8</f>
        <v>0</v>
      </c>
      <c r="M8" s="9">
        <f>'h1'!M8</f>
        <v>0</v>
      </c>
      <c r="N8" s="9">
        <f>'h1'!N8</f>
        <v>0</v>
      </c>
      <c r="O8" s="9">
        <f>'h1'!O8</f>
        <v>0</v>
      </c>
      <c r="P8" s="9">
        <f>'h1'!P8</f>
        <v>641</v>
      </c>
      <c r="Q8" s="9">
        <f>'h1'!Q8</f>
        <v>0.10000000000000053</v>
      </c>
      <c r="R8" s="9">
        <f>'h1'!R8</f>
        <v>0.022158930686368983</v>
      </c>
      <c r="S8" s="9">
        <f>'h1'!S8</f>
        <v>0.07784106931363155</v>
      </c>
      <c r="T8" s="9">
        <f>'h1'!T8</f>
        <v>27.661466458658346</v>
      </c>
      <c r="U8" s="9">
        <f>'h1'!U8</f>
        <v>18.600278825997027</v>
      </c>
      <c r="V8" s="9">
        <f>'h1'!V8</f>
        <v>0</v>
      </c>
      <c r="W8" s="9">
        <f>'h1'!W8</f>
        <v>0</v>
      </c>
      <c r="X8" s="9">
        <f>'h1'!X8</f>
        <v>0</v>
      </c>
      <c r="Y8" s="9">
        <f>'h1'!Y8</f>
        <v>0</v>
      </c>
      <c r="Z8" s="9">
        <f>'h1'!Z8</f>
        <v>3.512853143293459</v>
      </c>
      <c r="AA8" s="9">
        <f>'h1'!AA8</f>
        <v>1773.1</v>
      </c>
      <c r="AB8" s="9">
        <f>'h1'!AB8</f>
        <v>1773.1</v>
      </c>
      <c r="AC8" s="9">
        <f>'h1'!AC8</f>
        <v>1773.1</v>
      </c>
      <c r="AD8" s="9">
        <f>'h1'!AD8</f>
        <v>1773.1</v>
      </c>
      <c r="AE8" s="46" t="s">
        <v>220</v>
      </c>
      <c r="AF8" s="9">
        <v>37.3899991</v>
      </c>
      <c r="AG8" s="9">
        <v>-5.9872061</v>
      </c>
    </row>
    <row r="9">
      <c r="A9" s="10">
        <f>'h1'!A9</f>
        <v>8</v>
      </c>
      <c r="B9" t="str">
        <f>'h1'!B9</f>
        <v>Atracción Turística</v>
      </c>
      <c r="C9" t="str">
        <f>'h1'!C9</f>
        <v>Mercado de Triana</v>
      </c>
      <c r="D9" t="str">
        <f>'h1'!D9</f>
        <v>TripAdvisor</v>
      </c>
      <c r="E9" s="9">
        <f>'h1'!E9</f>
        <v>10654</v>
      </c>
      <c r="F9" s="9">
        <f>'h1'!F9</f>
        <v>1132</v>
      </c>
      <c r="G9" s="9">
        <f>'h1'!G9</f>
        <v>4.4</v>
      </c>
      <c r="H9" s="9">
        <f>'h1'!H9</f>
        <v>4</v>
      </c>
      <c r="I9" s="9">
        <f>'h1'!I9</f>
        <v>4.361581537417275</v>
      </c>
      <c r="J9" s="9">
        <f>'h1'!J9</f>
        <v>1</v>
      </c>
      <c r="K9" s="9">
        <f>'h1'!K9</f>
        <v>11</v>
      </c>
      <c r="L9" s="9">
        <f>'h1'!L9</f>
        <v>0</v>
      </c>
      <c r="M9" s="9">
        <f>'h1'!M9</f>
        <v>0</v>
      </c>
      <c r="N9" s="9">
        <f>'h1'!N9</f>
        <v>0</v>
      </c>
      <c r="O9" s="9">
        <f>'h1'!O9</f>
        <v>0</v>
      </c>
      <c r="P9" s="9">
        <f>'h1'!P9</f>
        <v>974</v>
      </c>
      <c r="Q9" s="9">
        <f>'h1'!Q9</f>
        <v>0.40000000000000036</v>
      </c>
      <c r="R9" s="9">
        <f>'h1'!R9</f>
        <v>0.03841846258272508</v>
      </c>
      <c r="S9" s="9">
        <f>'h1'!S9</f>
        <v>0.3615815374172753</v>
      </c>
      <c r="T9" s="9">
        <f>'h1'!T9</f>
        <v>12.100616016427105</v>
      </c>
      <c r="U9" s="9">
        <f>'h1'!U9</f>
        <v>17.757596682628982</v>
      </c>
      <c r="V9" s="9">
        <f>'h1'!V9</f>
        <v>0</v>
      </c>
      <c r="W9" s="9">
        <f>'h1'!W9</f>
        <v>0</v>
      </c>
      <c r="X9" s="9">
        <f>'h1'!X9</f>
        <v>0</v>
      </c>
      <c r="Y9" s="9">
        <f>'h1'!Y9</f>
        <v>0</v>
      </c>
      <c r="Z9" s="9">
        <f>'h1'!Z9</f>
        <v>9.411660777385158</v>
      </c>
      <c r="AA9" s="9">
        <f>'h1'!AA9</f>
        <v>1178.6</v>
      </c>
      <c r="AB9" s="9">
        <f>'h1'!AB9</f>
        <v>1178.6</v>
      </c>
      <c r="AC9" s="9">
        <f>'h1'!AC9</f>
        <v>1178.6</v>
      </c>
      <c r="AD9" s="9">
        <f>'h1'!AD9</f>
        <v>1178.6</v>
      </c>
      <c r="AE9" s="46" t="s">
        <v>220</v>
      </c>
      <c r="AF9" s="9">
        <v>37.3857102</v>
      </c>
      <c r="AG9" s="9">
        <v>-6.0036109</v>
      </c>
    </row>
    <row r="10">
      <c r="A10" s="10">
        <f>'h1'!A10</f>
        <v>9</v>
      </c>
      <c r="B10" t="str">
        <f>'h1'!B10</f>
        <v>Atracción Turística</v>
      </c>
      <c r="C10" t="str">
        <f>'h1'!C10</f>
        <v>Museo de Bellas Artes</v>
      </c>
      <c r="D10" t="str">
        <f>'h1'!D10</f>
        <v>TripAdvisor</v>
      </c>
      <c r="E10" s="9">
        <f>'h1'!E10</f>
        <v>16014</v>
      </c>
      <c r="F10" s="9">
        <f>'h1'!F10</f>
        <v>2218</v>
      </c>
      <c r="G10" s="9">
        <f>'h1'!G10</f>
        <v>4.7</v>
      </c>
      <c r="H10" s="9">
        <f>'h1'!H10</f>
        <v>4.4</v>
      </c>
      <c r="I10" s="9">
        <f>'h1'!I10</f>
        <v>4.663503729706012</v>
      </c>
      <c r="J10" s="9">
        <f>'h1'!J10</f>
        <v>1</v>
      </c>
      <c r="K10" s="9">
        <f>'h1'!K10</f>
        <v>12</v>
      </c>
      <c r="L10" s="9">
        <f>'h1'!L10</f>
        <v>0</v>
      </c>
      <c r="M10" s="9">
        <f>'h1'!M10</f>
        <v>0</v>
      </c>
      <c r="N10" s="9">
        <f>'h1'!N10</f>
        <v>0</v>
      </c>
      <c r="O10" s="9">
        <f>'h1'!O10</f>
        <v>0</v>
      </c>
      <c r="P10" s="9">
        <f>'h1'!P10</f>
        <v>962</v>
      </c>
      <c r="Q10" s="9">
        <f>'h1'!Q10</f>
        <v>0.2999999999999998</v>
      </c>
      <c r="R10" s="9">
        <f>'h1'!R10</f>
        <v>0.03649627029398861</v>
      </c>
      <c r="S10" s="9">
        <f>'h1'!S10</f>
        <v>0.2635037297060112</v>
      </c>
      <c r="T10" s="9">
        <f>'h1'!T10</f>
        <v>18.95218295218295</v>
      </c>
      <c r="U10" s="9">
        <f>'h1'!U10</f>
        <v>19.87041670647496</v>
      </c>
      <c r="V10" s="9">
        <f>'h1'!V10</f>
        <v>0</v>
      </c>
      <c r="W10" s="9">
        <f>'h1'!W10</f>
        <v>0</v>
      </c>
      <c r="X10" s="9">
        <f>'h1'!X10</f>
        <v>0</v>
      </c>
      <c r="Y10" s="9">
        <f>'h1'!Y10</f>
        <v>0</v>
      </c>
      <c r="Z10" s="9">
        <f>'h1'!Z10</f>
        <v>7.220018034265104</v>
      </c>
      <c r="AA10" s="9">
        <f>'h1'!AA10</f>
        <v>1823.2</v>
      </c>
      <c r="AB10" s="9">
        <f>'h1'!AB10</f>
        <v>1823.2</v>
      </c>
      <c r="AC10" s="9">
        <f>'h1'!AC10</f>
        <v>1823.2</v>
      </c>
      <c r="AD10" s="9">
        <f>'h1'!AD10</f>
        <v>1823.2</v>
      </c>
      <c r="AE10" s="46" t="s">
        <v>220</v>
      </c>
      <c r="AF10" s="9">
        <v>37.3925104</v>
      </c>
      <c r="AG10" s="9">
        <v>-6.0000265</v>
      </c>
    </row>
    <row r="11">
      <c r="A11" s="10">
        <f>'h1'!A11</f>
        <v>10</v>
      </c>
      <c r="B11" t="str">
        <f>'h1'!B11</f>
        <v>Atracción Turística</v>
      </c>
      <c r="C11" t="str">
        <f>'h1'!C11</f>
        <v>Real Maestranza de Caballería</v>
      </c>
      <c r="D11" t="str">
        <f>'h1'!D11</f>
        <v>TripAdvisor</v>
      </c>
      <c r="E11" s="9">
        <f>'h1'!E11</f>
        <v>31701</v>
      </c>
      <c r="F11" s="9">
        <f>'h1'!F11</f>
        <v>5718</v>
      </c>
      <c r="G11" s="9">
        <f>'h1'!G11</f>
        <v>4.4</v>
      </c>
      <c r="H11" s="9">
        <f>'h1'!H11</f>
        <v>4.1</v>
      </c>
      <c r="I11" s="9">
        <f>'h1'!I11</f>
        <v>4.354156979074802</v>
      </c>
      <c r="J11" s="9">
        <f>'h1'!J11</f>
        <v>1</v>
      </c>
      <c r="K11" s="9">
        <f>'h1'!K11</f>
        <v>13</v>
      </c>
      <c r="L11" s="9">
        <f>'h1'!L11</f>
        <v>0</v>
      </c>
      <c r="M11" s="9">
        <f>'h1'!M11</f>
        <v>0</v>
      </c>
      <c r="N11" s="9">
        <f>'h1'!N11</f>
        <v>0</v>
      </c>
      <c r="O11" s="9">
        <f>'h1'!O11</f>
        <v>0</v>
      </c>
      <c r="P11" s="9">
        <f>'h1'!P11</f>
        <v>553</v>
      </c>
      <c r="Q11" s="9">
        <f>'h1'!Q11</f>
        <v>0.3000000000000007</v>
      </c>
      <c r="R11" s="9">
        <f>'h1'!R11</f>
        <v>0.0458430209251981</v>
      </c>
      <c r="S11" s="9">
        <f>'h1'!S11</f>
        <v>0.2541569790748026</v>
      </c>
      <c r="T11" s="9">
        <f>'h1'!T11</f>
        <v>67.66546112115732</v>
      </c>
      <c r="U11" s="9">
        <f>'h1'!U11</f>
        <v>19.911961218712886</v>
      </c>
      <c r="V11" s="9">
        <f>'h1'!V11</f>
        <v>0</v>
      </c>
      <c r="W11" s="9">
        <f>'h1'!W11</f>
        <v>0</v>
      </c>
      <c r="X11" s="9">
        <f>'h1'!X11</f>
        <v>0</v>
      </c>
      <c r="Y11" s="9">
        <f>'h1'!Y11</f>
        <v>0</v>
      </c>
      <c r="Z11" s="9">
        <f>'h1'!Z11</f>
        <v>5.544071353620147</v>
      </c>
      <c r="AA11" s="9">
        <f>'h1'!AA11</f>
        <v>3741.9</v>
      </c>
      <c r="AB11" s="9">
        <f>'h1'!AB11</f>
        <v>3741.9</v>
      </c>
      <c r="AC11" s="9">
        <f>'h1'!AC11</f>
        <v>3741.9</v>
      </c>
      <c r="AD11" s="9">
        <f>'h1'!AD11</f>
        <v>3741.9</v>
      </c>
      <c r="AE11" s="46" t="s">
        <v>220</v>
      </c>
      <c r="AF11" s="9">
        <v>37.3855924</v>
      </c>
      <c r="AG11" s="9">
        <v>-5.9988272</v>
      </c>
    </row>
    <row r="12">
      <c r="A12" s="10">
        <f>'h1'!A12</f>
        <v>11</v>
      </c>
      <c r="B12" t="str">
        <f>'h1'!B12</f>
        <v>Atracción Turística</v>
      </c>
      <c r="C12" t="str">
        <f>'h1'!C12</f>
        <v>Basílica de la Macarena</v>
      </c>
      <c r="D12" t="str">
        <f>'h1'!D12</f>
        <v>TripAdvisor</v>
      </c>
      <c r="E12" s="9">
        <f>'h1'!E12</f>
        <v>3506</v>
      </c>
      <c r="F12" s="9">
        <f>'h1'!F12</f>
        <v>2484</v>
      </c>
      <c r="G12" s="9">
        <f>'h1'!G12</f>
        <v>4.8</v>
      </c>
      <c r="H12" s="9">
        <f>'h1'!H12</f>
        <v>4.4</v>
      </c>
      <c r="I12" s="9">
        <f>'h1'!I12</f>
        <v>4.6341235392320534</v>
      </c>
      <c r="J12" s="9">
        <f>'h1'!J12</f>
        <v>1</v>
      </c>
      <c r="K12" s="9">
        <f>'h1'!K12</f>
        <v>14</v>
      </c>
      <c r="L12" s="9">
        <f>'h1'!L12</f>
        <v>0</v>
      </c>
      <c r="M12" s="9">
        <f>'h1'!M12</f>
        <v>0</v>
      </c>
      <c r="N12" s="9">
        <f>'h1'!N12</f>
        <v>0</v>
      </c>
      <c r="O12" s="9">
        <f>'h1'!O12</f>
        <v>0</v>
      </c>
      <c r="P12" s="9">
        <f>'h1'!P12</f>
        <v>1850</v>
      </c>
      <c r="Q12" s="9">
        <f>'h1'!Q12</f>
        <v>0.39999999999999947</v>
      </c>
      <c r="R12" s="9">
        <f>'h1'!R12</f>
        <v>0.16587646076794638</v>
      </c>
      <c r="S12" s="9">
        <f>'h1'!S12</f>
        <v>0.2341235392320531</v>
      </c>
      <c r="T12" s="9">
        <f>'h1'!T12</f>
        <v>3.2378378378378376</v>
      </c>
      <c r="U12" s="9">
        <f>'h1'!U12</f>
        <v>17.505062555360844</v>
      </c>
      <c r="V12" s="9">
        <f>'h1'!V12</f>
        <v>0</v>
      </c>
      <c r="W12" s="9">
        <f>'h1'!W12</f>
        <v>0</v>
      </c>
      <c r="X12" s="9">
        <f>'h1'!X12</f>
        <v>0</v>
      </c>
      <c r="Y12" s="9">
        <f>'h1'!Y12</f>
        <v>0</v>
      </c>
      <c r="Z12" s="9">
        <f>'h1'!Z12</f>
        <v>1.4114331723027376</v>
      </c>
      <c r="AA12" s="9">
        <f>'h1'!AA12</f>
        <v>599</v>
      </c>
      <c r="AB12" s="9">
        <f>'h1'!AB12</f>
        <v>599</v>
      </c>
      <c r="AC12" s="9">
        <f>'h1'!AC12</f>
        <v>599</v>
      </c>
      <c r="AD12" s="9">
        <f>'h1'!AD12</f>
        <v>599</v>
      </c>
      <c r="AE12" s="46" t="s">
        <v>220</v>
      </c>
      <c r="AF12" s="9">
        <v>37.4025936</v>
      </c>
      <c r="AG12" s="9">
        <v>-5.989417</v>
      </c>
    </row>
    <row r="13" ht="30.75">
      <c r="A13" s="10">
        <f>'h1'!A13</f>
        <v>12</v>
      </c>
      <c r="B13" t="str">
        <f>'h1'!B13</f>
        <v>Atracción Turística</v>
      </c>
      <c r="C13" t="str">
        <f>'h1'!C13</f>
        <v>Isla Mágica</v>
      </c>
      <c r="D13" t="str">
        <f>'h1'!D13</f>
        <v>TripAdvisor</v>
      </c>
      <c r="E13" s="9">
        <f>'h1'!E13</f>
        <v>32790</v>
      </c>
      <c r="F13" s="9">
        <f>'h1'!F13</f>
        <v>2730</v>
      </c>
      <c r="G13" s="9">
        <f>'h1'!G13</f>
        <v>4.1</v>
      </c>
      <c r="H13" s="9">
        <f>'h1'!H13</f>
        <v>3.6</v>
      </c>
      <c r="I13" s="9">
        <f>'h1'!I13</f>
        <v>4.061570945945946</v>
      </c>
      <c r="J13" s="9">
        <f>'h1'!J13</f>
        <v>1</v>
      </c>
      <c r="K13" s="9">
        <f>'h1'!K13</f>
        <v>15</v>
      </c>
      <c r="L13" s="9">
        <f>'h1'!L13</f>
        <v>8</v>
      </c>
      <c r="M13" s="9">
        <f>'h1'!M13</f>
        <v>0</v>
      </c>
      <c r="N13" s="9">
        <f>'h1'!N13</f>
        <v>0</v>
      </c>
      <c r="O13" s="9">
        <f>'h1'!O13</f>
        <v>4</v>
      </c>
      <c r="P13" s="9">
        <f>'h1'!P13</f>
        <v>2260</v>
      </c>
      <c r="Q13" s="9">
        <f>'h1'!Q13</f>
        <v>0.49999999999999956</v>
      </c>
      <c r="R13" s="9">
        <f>'h1'!R13</f>
        <v>0.0384290540540535</v>
      </c>
      <c r="S13" s="9">
        <f>'h1'!S13</f>
        <v>0.46157094594594605</v>
      </c>
      <c r="T13" s="9">
        <f>'h1'!T13</f>
        <v>15.716814159292035</v>
      </c>
      <c r="U13" s="9">
        <f>'h1'!U13</f>
        <v>18.482068752896755</v>
      </c>
      <c r="V13" s="9">
        <f>'h1'!V13</f>
        <v>0.35398230088495575</v>
      </c>
      <c r="W13" s="9">
        <f>'h1'!W13</f>
        <v>0</v>
      </c>
      <c r="X13" s="9">
        <f>'h1'!X13</f>
        <v>0</v>
      </c>
      <c r="Y13" s="9">
        <f>'h1'!Y13</f>
        <v>0.17699115044247787</v>
      </c>
      <c r="Z13" s="9">
        <f>'h1'!Z13</f>
        <v>12.010989010989011</v>
      </c>
      <c r="AA13" s="9">
        <f>'h1'!AA13</f>
        <v>43.851851851851855</v>
      </c>
      <c r="AB13" s="9">
        <f>'h1'!AB13</f>
        <v>3552</v>
      </c>
      <c r="AC13" s="9">
        <f>'h1'!AC13</f>
        <v>3552</v>
      </c>
      <c r="AD13" s="9">
        <f>'h1'!AD13</f>
        <v>86.63414634146342</v>
      </c>
      <c r="AE13" s="46" t="s">
        <v>221</v>
      </c>
      <c r="AF13" s="9">
        <v>37.4057472</v>
      </c>
      <c r="AG13" s="9">
        <v>-5.9995192</v>
      </c>
    </row>
    <row r="14">
      <c r="A14" s="10">
        <f>'h1'!A14</f>
        <v>13</v>
      </c>
      <c r="B14" t="str">
        <f>'h1'!B14</f>
        <v>Atracción Turística</v>
      </c>
      <c r="C14" t="str">
        <f>'h1'!C14</f>
        <v>Museo de las Ilusiones de Sevilla</v>
      </c>
      <c r="D14" t="str">
        <f>'h1'!D14</f>
        <v>TripAdvisor</v>
      </c>
      <c r="E14" s="9">
        <f>'h1'!E14</f>
        <v>4771</v>
      </c>
      <c r="F14" s="9">
        <f>'h1'!F14</f>
        <v>527</v>
      </c>
      <c r="G14" s="9">
        <f>'h1'!G14</f>
        <v>4.5</v>
      </c>
      <c r="H14" s="9">
        <f>'h1'!H14</f>
        <v>4.7</v>
      </c>
      <c r="I14" s="9">
        <f>'h1'!I14</f>
        <v>4.51989429973575</v>
      </c>
      <c r="J14" s="9">
        <f>'h1'!J14</f>
        <v>1</v>
      </c>
      <c r="K14" s="9">
        <f>'h1'!K14</f>
        <v>16</v>
      </c>
      <c r="L14" s="9">
        <f>'h1'!L14</f>
        <v>0</v>
      </c>
      <c r="M14" s="9">
        <f>'h1'!M14</f>
        <v>0</v>
      </c>
      <c r="N14" s="9">
        <f>'h1'!N14</f>
        <v>0</v>
      </c>
      <c r="O14" s="9">
        <f>'h1'!O14</f>
        <v>0</v>
      </c>
      <c r="P14" s="9">
        <f>'h1'!P14</f>
        <v>743</v>
      </c>
      <c r="Q14" s="9">
        <f>'h1'!Q14</f>
        <v>0.20000000000000018</v>
      </c>
      <c r="R14" s="9">
        <f>'h1'!R14</f>
        <v>0.019894299735749854</v>
      </c>
      <c r="S14" s="9">
        <f>'h1'!S14</f>
        <v>0.18010570026425032</v>
      </c>
      <c r="T14" s="9">
        <f>'h1'!T14</f>
        <v>7.1305518169582776</v>
      </c>
      <c r="U14" s="9">
        <f>'h1'!U14</f>
        <v>16.83259239228705</v>
      </c>
      <c r="V14" s="9">
        <f>'h1'!V14</f>
        <v>0</v>
      </c>
      <c r="W14" s="9">
        <f>'h1'!W14</f>
        <v>0</v>
      </c>
      <c r="X14" s="9">
        <f>'h1'!X14</f>
        <v>0</v>
      </c>
      <c r="Y14" s="9">
        <f>'h1'!Y14</f>
        <v>0</v>
      </c>
      <c r="Z14" s="9">
        <f>'h1'!Z14</f>
        <v>9.053130929791271</v>
      </c>
      <c r="AA14" s="9">
        <f>'h1'!AA14</f>
        <v>529.8</v>
      </c>
      <c r="AB14" s="9">
        <f>'h1'!AB14</f>
        <v>529.8</v>
      </c>
      <c r="AC14" s="9">
        <f>'h1'!AC14</f>
        <v>529.8</v>
      </c>
      <c r="AD14" s="9">
        <f>'h1'!AD14</f>
        <v>529.8</v>
      </c>
      <c r="AE14" s="46" t="s">
        <v>220</v>
      </c>
      <c r="AF14" s="9">
        <v>37.3918961</v>
      </c>
      <c r="AG14" s="9">
        <v>-5.9970072</v>
      </c>
    </row>
    <row r="15">
      <c r="A15" s="10">
        <f>'h1'!A15</f>
        <v>14</v>
      </c>
      <c r="B15" t="str">
        <f>'h1'!B15</f>
        <v>Atracción Turística</v>
      </c>
      <c r="C15" t="str">
        <f>'h1'!C15</f>
        <v>Torre Sevilla (C.C.)</v>
      </c>
      <c r="D15" t="str">
        <f>'h1'!D15</f>
        <v>TripAdvisor</v>
      </c>
      <c r="E15" s="9">
        <f>'h1'!E15</f>
        <v>14803</v>
      </c>
      <c r="F15" s="9">
        <f>'h1'!F15</f>
        <v>473</v>
      </c>
      <c r="G15" s="9">
        <f>'h1'!G15</f>
        <v>4.3</v>
      </c>
      <c r="H15" s="9">
        <f>'h1'!H15</f>
        <v>4.5</v>
      </c>
      <c r="I15" s="9">
        <f>'h1'!I15</f>
        <v>4.306192720607489</v>
      </c>
      <c r="J15" s="9">
        <f>'h1'!J15</f>
        <v>1</v>
      </c>
      <c r="K15" s="9">
        <f>'h1'!K15</f>
        <v>17</v>
      </c>
      <c r="L15" s="9">
        <f>'h1'!L15</f>
        <v>0</v>
      </c>
      <c r="M15" s="9">
        <f>'h1'!M15</f>
        <v>0</v>
      </c>
      <c r="N15" s="9">
        <f>'h1'!N15</f>
        <v>0</v>
      </c>
      <c r="O15" s="9">
        <f>'h1'!O15</f>
        <v>0</v>
      </c>
      <c r="P15" s="9">
        <f>'h1'!P15</f>
        <v>1660</v>
      </c>
      <c r="Q15" s="9">
        <f>'h1'!Q15</f>
        <v>0.20000000000000018</v>
      </c>
      <c r="R15" s="9">
        <f>'h1'!R15</f>
        <v>0.006192720607488766</v>
      </c>
      <c r="S15" s="9">
        <f>'h1'!S15</f>
        <v>0.1938072793925114</v>
      </c>
      <c r="T15" s="9">
        <f>'h1'!T15</f>
        <v>9.202409638554217</v>
      </c>
      <c r="U15" s="9">
        <f>'h1'!U15</f>
        <v>18.01715189649514</v>
      </c>
      <c r="V15" s="9">
        <f>'h1'!V15</f>
        <v>0</v>
      </c>
      <c r="W15" s="9">
        <f>'h1'!W15</f>
        <v>0</v>
      </c>
      <c r="X15" s="9">
        <f>'h1'!X15</f>
        <v>0</v>
      </c>
      <c r="Y15" s="9">
        <f>'h1'!Y15</f>
        <v>0</v>
      </c>
      <c r="Z15" s="9">
        <f>'h1'!Z15</f>
        <v>31.29598308668076</v>
      </c>
      <c r="AA15" s="9">
        <f>'h1'!AA15</f>
        <v>1527.6</v>
      </c>
      <c r="AB15" s="9">
        <f>'h1'!AB15</f>
        <v>1527.6</v>
      </c>
      <c r="AC15" s="9">
        <f>'h1'!AC15</f>
        <v>1527.6</v>
      </c>
      <c r="AD15" s="9">
        <f>'h1'!AD15</f>
        <v>1527.6</v>
      </c>
      <c r="AE15" s="46" t="s">
        <v>220</v>
      </c>
      <c r="AF15" s="9">
        <v>37.3912767</v>
      </c>
      <c r="AG15" s="9">
        <v>-6.0102695</v>
      </c>
    </row>
    <row r="16">
      <c r="A16" s="10">
        <f>'h1'!A16</f>
        <v>15</v>
      </c>
      <c r="B16" t="str">
        <f>'h1'!B16</f>
        <v>Atracción Turística</v>
      </c>
      <c r="C16" t="str">
        <f>'h1'!C16</f>
        <v>Palacio de las Dueñas</v>
      </c>
      <c r="D16" t="str">
        <f>'h1'!D16</f>
        <v>TripAdvisor</v>
      </c>
      <c r="E16" s="9">
        <f>'h1'!E16</f>
        <v>10723</v>
      </c>
      <c r="F16" s="9">
        <f>'h1'!F16</f>
        <v>1689</v>
      </c>
      <c r="G16" s="9">
        <f>'h1'!G16</f>
        <v>4.4</v>
      </c>
      <c r="H16" s="9">
        <f>'h1'!H16</f>
        <v>4.4</v>
      </c>
      <c r="I16" s="9">
        <f>'h1'!I16</f>
        <v>4.4</v>
      </c>
      <c r="J16" s="9">
        <f>'h1'!J16</f>
        <v>1</v>
      </c>
      <c r="K16" s="9">
        <f>'h1'!K16</f>
        <v>18</v>
      </c>
      <c r="L16" s="9">
        <f>'h1'!L16</f>
        <v>0</v>
      </c>
      <c r="M16" s="9">
        <f>'h1'!M16</f>
        <v>0</v>
      </c>
      <c r="N16" s="9">
        <f>'h1'!N16</f>
        <v>0</v>
      </c>
      <c r="O16" s="9">
        <f>'h1'!O16</f>
        <v>0</v>
      </c>
      <c r="P16" s="9">
        <f>'h1'!P16</f>
        <v>1000</v>
      </c>
      <c r="Q16" s="9">
        <f>'h1'!Q16</f>
        <v>0</v>
      </c>
      <c r="R16" s="9">
        <f>'h1'!R16</f>
        <v>0</v>
      </c>
      <c r="S16" s="9">
        <f>'h1'!S16</f>
        <v>0</v>
      </c>
      <c r="T16" s="9">
        <f>'h1'!T16</f>
        <v>12.412</v>
      </c>
      <c r="U16" s="9">
        <f>'h1'!U16</f>
        <v>18.012903774413363</v>
      </c>
      <c r="V16" s="9">
        <f>'h1'!V16</f>
        <v>0</v>
      </c>
      <c r="W16" s="9">
        <f>'h1'!W16</f>
        <v>0</v>
      </c>
      <c r="X16" s="9">
        <f>'h1'!X16</f>
        <v>0</v>
      </c>
      <c r="Y16" s="9">
        <f>'h1'!Y16</f>
        <v>0</v>
      </c>
      <c r="Z16" s="9">
        <f>'h1'!Z16</f>
        <v>6.348727057430432</v>
      </c>
      <c r="AA16" s="9">
        <f>'h1'!AA16</f>
        <v>1241.2</v>
      </c>
      <c r="AB16" s="9">
        <f>'h1'!AB16</f>
        <v>1241.2</v>
      </c>
      <c r="AC16" s="9">
        <f>'h1'!AC16</f>
        <v>1241.2</v>
      </c>
      <c r="AD16" s="9">
        <f>'h1'!AD16</f>
        <v>1241.2</v>
      </c>
      <c r="AE16" s="46" t="s">
        <v>220</v>
      </c>
      <c r="AF16" s="9">
        <v>37.3948492</v>
      </c>
      <c r="AG16" s="9">
        <v>-5.9893635</v>
      </c>
    </row>
    <row r="17" ht="30.75">
      <c r="A17" s="10">
        <f>'h1'!A17</f>
        <v>16</v>
      </c>
      <c r="B17" t="str">
        <f>'h1'!B17</f>
        <v>Atracción Turística</v>
      </c>
      <c r="C17" t="str">
        <f>'h1'!C17</f>
        <v>Iglesia Colegial del Divino Salvador</v>
      </c>
      <c r="D17" t="str">
        <f>'h1'!D17</f>
        <v>TripAdvisor</v>
      </c>
      <c r="E17" s="9">
        <f>'h1'!E17</f>
        <v>12143</v>
      </c>
      <c r="F17" s="9">
        <f>'h1'!F17</f>
        <v>2186</v>
      </c>
      <c r="G17" s="9">
        <f>'h1'!G17</f>
        <v>4.6</v>
      </c>
      <c r="H17" s="9">
        <f>'h1'!H17</f>
        <v>4.5</v>
      </c>
      <c r="I17" s="9">
        <f>'h1'!I17</f>
        <v>4.584744224998254</v>
      </c>
      <c r="J17" s="9">
        <f>'h1'!J17</f>
        <v>1</v>
      </c>
      <c r="K17" s="9">
        <f>'h1'!K17</f>
        <v>19</v>
      </c>
      <c r="L17" s="9">
        <f>'h1'!L17</f>
        <v>0</v>
      </c>
      <c r="M17" s="9">
        <f>'h1'!M17</f>
        <v>16</v>
      </c>
      <c r="N17" s="9">
        <f>'h1'!N17</f>
        <v>0</v>
      </c>
      <c r="O17" s="9">
        <f>'h1'!O17</f>
        <v>6.4</v>
      </c>
      <c r="P17" s="9">
        <f>'h1'!P17</f>
        <v>424</v>
      </c>
      <c r="Q17" s="9">
        <f>'h1'!Q17</f>
        <v>0.09999999999999964</v>
      </c>
      <c r="R17" s="9">
        <f>'h1'!R17</f>
        <v>0.015255775001745242</v>
      </c>
      <c r="S17" s="9">
        <f>'h1'!S17</f>
        <v>0.0847442249982544</v>
      </c>
      <c r="T17" s="9">
        <f>'h1'!T17</f>
        <v>33.79481132075472</v>
      </c>
      <c r="U17" s="9">
        <f>'h1'!U17</f>
        <v>19.05518676594831</v>
      </c>
      <c r="V17" s="9">
        <f>'h1'!V17</f>
        <v>0</v>
      </c>
      <c r="W17" s="9">
        <f>'h1'!W17</f>
        <v>3.7735849056603774</v>
      </c>
      <c r="X17" s="9">
        <f>'h1'!X17</f>
        <v>0</v>
      </c>
      <c r="Y17" s="9">
        <f>'h1'!Y17</f>
        <v>1.509433962264151</v>
      </c>
      <c r="Z17" s="9">
        <f>'h1'!Z17</f>
        <v>5.554894784995425</v>
      </c>
      <c r="AA17" s="9">
        <f>'h1'!AA17</f>
        <v>1432.9</v>
      </c>
      <c r="AB17" s="9">
        <f>'h1'!AB17</f>
        <v>8.899999999999999</v>
      </c>
      <c r="AC17" s="9">
        <f>'h1'!AC17</f>
        <v>1432.9</v>
      </c>
      <c r="AD17" s="9">
        <f>'h1'!AD17</f>
        <v>22.044615384615387</v>
      </c>
      <c r="AE17" s="46" t="s">
        <v>222</v>
      </c>
      <c r="AF17" s="9">
        <v>37.3899966</v>
      </c>
      <c r="AG17" s="9">
        <v>-5.9928375</v>
      </c>
    </row>
    <row r="18">
      <c r="A18" s="10">
        <f>'h1'!A18</f>
        <v>17</v>
      </c>
      <c r="B18" t="str">
        <f>'h1'!B18</f>
        <v>Atracción Turística</v>
      </c>
      <c r="C18" t="str">
        <f>'h1'!C18</f>
        <v>Palacio de la Condesa de Lebrija</v>
      </c>
      <c r="D18" t="str">
        <f>'h1'!D18</f>
        <v>TripAdvisor</v>
      </c>
      <c r="E18" s="9">
        <f>'h1'!E18</f>
        <v>2710</v>
      </c>
      <c r="F18" s="9">
        <f>'h1'!F18</f>
        <v>857</v>
      </c>
      <c r="G18" s="9">
        <f>'h1'!G18</f>
        <v>4.5</v>
      </c>
      <c r="H18" s="9">
        <f>'h1'!H18</f>
        <v>4.3</v>
      </c>
      <c r="I18" s="9">
        <f>'h1'!I18</f>
        <v>4.451948416035885</v>
      </c>
      <c r="J18" s="9">
        <f>'h1'!J18</f>
        <v>1</v>
      </c>
      <c r="K18" s="9">
        <f>'h1'!K18</f>
        <v>20</v>
      </c>
      <c r="L18" s="9">
        <f>'h1'!L18</f>
        <v>0</v>
      </c>
      <c r="M18" s="9">
        <f>'h1'!M18</f>
        <v>0</v>
      </c>
      <c r="N18" s="9">
        <f>'h1'!N18</f>
        <v>0</v>
      </c>
      <c r="O18" s="9">
        <f>'h1'!O18</f>
        <v>0</v>
      </c>
      <c r="P18" s="9">
        <f>'h1'!P18</f>
        <v>676</v>
      </c>
      <c r="Q18" s="9">
        <f>'h1'!Q18</f>
        <v>0.20000000000000018</v>
      </c>
      <c r="R18" s="9">
        <f>'h1'!R18</f>
        <v>0.04805158396411535</v>
      </c>
      <c r="S18" s="9">
        <f>'h1'!S18</f>
        <v>0.15194841603588483</v>
      </c>
      <c r="T18" s="9">
        <f>'h1'!T18</f>
        <v>5.2766272189349115</v>
      </c>
      <c r="U18" s="9">
        <f>'h1'!U18</f>
        <v>15.814670200898234</v>
      </c>
      <c r="V18" s="9">
        <f>'h1'!V18</f>
        <v>0</v>
      </c>
      <c r="W18" s="9">
        <f>'h1'!W18</f>
        <v>0</v>
      </c>
      <c r="X18" s="9">
        <f>'h1'!X18</f>
        <v>0</v>
      </c>
      <c r="Y18" s="9">
        <f>'h1'!Y18</f>
        <v>0</v>
      </c>
      <c r="Z18" s="9">
        <f>'h1'!Z18</f>
        <v>3.162193698949825</v>
      </c>
      <c r="AA18" s="9">
        <f>'h1'!AA18</f>
        <v>356.7</v>
      </c>
      <c r="AB18" s="9">
        <f>'h1'!AB18</f>
        <v>356.7</v>
      </c>
      <c r="AC18" s="9">
        <f>'h1'!AC18</f>
        <v>356.7</v>
      </c>
      <c r="AD18" s="9">
        <f>'h1'!AD18</f>
        <v>356.7</v>
      </c>
      <c r="AE18" s="46" t="s">
        <v>220</v>
      </c>
      <c r="AF18" s="9">
        <v>37.3922213</v>
      </c>
      <c r="AG18" s="9">
        <v>-5.9937044</v>
      </c>
    </row>
    <row r="19">
      <c r="A19" s="10">
        <f>'h1'!A19</f>
        <v>18</v>
      </c>
      <c r="B19" t="str">
        <f>'h1'!B19</f>
        <v>Atracción Turística</v>
      </c>
      <c r="C19" t="str">
        <f>'h1'!C19</f>
        <v>Torre Sevilla (Edificio)</v>
      </c>
      <c r="D19" t="str">
        <f>'h1'!D19</f>
        <v>TripAdvisor</v>
      </c>
      <c r="E19" s="9">
        <f>'h1'!E19</f>
        <v>6037</v>
      </c>
      <c r="F19" s="9">
        <f>'h1'!F19</f>
        <v>393</v>
      </c>
      <c r="G19" s="9">
        <f>'h1'!G19</f>
        <v>4.5</v>
      </c>
      <c r="H19" s="9">
        <f>'h1'!H19</f>
        <v>4.4</v>
      </c>
      <c r="I19" s="9">
        <f>'h1'!I19</f>
        <v>4.4938880248833595</v>
      </c>
      <c r="J19" s="9">
        <f>'h1'!J19</f>
        <v>1</v>
      </c>
      <c r="K19" s="9">
        <f>'h1'!K19</f>
        <v>22</v>
      </c>
      <c r="L19" s="9">
        <f>'h1'!L19</f>
        <v>0</v>
      </c>
      <c r="M19" s="9">
        <f>'h1'!M19</f>
        <v>0</v>
      </c>
      <c r="N19" s="9">
        <f>'h1'!N19</f>
        <v>0</v>
      </c>
      <c r="O19" s="9">
        <f>'h1'!O19</f>
        <v>0</v>
      </c>
      <c r="P19" s="9">
        <f>'h1'!P19</f>
        <v>1680</v>
      </c>
      <c r="Q19" s="9">
        <f>'h1'!Q19</f>
        <v>0.09999999999999964</v>
      </c>
      <c r="R19" s="9">
        <f>'h1'!R19</f>
        <v>0.006111975116640522</v>
      </c>
      <c r="S19" s="9">
        <f>'h1'!S19</f>
        <v>0.09388802488335912</v>
      </c>
      <c r="T19" s="9">
        <f>'h1'!T19</f>
        <v>3.8273809523809526</v>
      </c>
      <c r="U19" s="9">
        <f>'h1'!U19</f>
        <v>17.11367368745357</v>
      </c>
      <c r="V19" s="9">
        <f>'h1'!V19</f>
        <v>0</v>
      </c>
      <c r="W19" s="9">
        <f>'h1'!W19</f>
        <v>0</v>
      </c>
      <c r="X19" s="9">
        <f>'h1'!X19</f>
        <v>0</v>
      </c>
      <c r="Y19" s="9">
        <f>'h1'!Y19</f>
        <v>0</v>
      </c>
      <c r="Z19" s="9">
        <f>'h1'!Z19</f>
        <v>15.361323155216285</v>
      </c>
      <c r="AA19" s="9">
        <f>'h1'!AA19</f>
        <v>643</v>
      </c>
      <c r="AB19" s="9">
        <f>'h1'!AB19</f>
        <v>643</v>
      </c>
      <c r="AC19" s="9">
        <f>'h1'!AC19</f>
        <v>643</v>
      </c>
      <c r="AD19" s="9">
        <f>'h1'!AD19</f>
        <v>643</v>
      </c>
      <c r="AE19" s="46" t="s">
        <v>220</v>
      </c>
      <c r="AF19" s="9">
        <v>37.3914323</v>
      </c>
      <c r="AG19" s="9">
        <v>-6.0104899</v>
      </c>
    </row>
    <row r="20">
      <c r="A20" s="10">
        <f>'h1'!A20</f>
        <v>19</v>
      </c>
      <c r="B20" t="str">
        <f>'h1'!B20</f>
        <v>Atracción Turística</v>
      </c>
      <c r="C20" t="str">
        <f>'h1'!C20</f>
        <v>Hospital de los Venerables </v>
      </c>
      <c r="D20" t="str">
        <f>'h1'!D20</f>
        <v>TripAdvisor</v>
      </c>
      <c r="E20" s="9">
        <f>'h1'!E20</f>
        <v>2188</v>
      </c>
      <c r="F20" s="9">
        <f>'h1'!F20</f>
        <v>919</v>
      </c>
      <c r="G20" s="9">
        <f>'h1'!G20</f>
        <v>4.4</v>
      </c>
      <c r="H20" s="9">
        <f>'h1'!H20</f>
        <v>4.3</v>
      </c>
      <c r="I20" s="9">
        <f>'h1'!I20</f>
        <v>4.370421628580625</v>
      </c>
      <c r="J20" s="9">
        <f>'h1'!J20</f>
        <v>1</v>
      </c>
      <c r="K20" s="9">
        <f>'h1'!K20</f>
        <v>23</v>
      </c>
      <c r="L20" s="9">
        <f>'h1'!L20</f>
        <v>0</v>
      </c>
      <c r="M20" s="9">
        <f>'h1'!M20</f>
        <v>0</v>
      </c>
      <c r="N20" s="9">
        <f>'h1'!N20</f>
        <v>0</v>
      </c>
      <c r="O20" s="9">
        <f>'h1'!O20</f>
        <v>0</v>
      </c>
      <c r="P20" s="9">
        <f>'h1'!P20</f>
        <v>264</v>
      </c>
      <c r="Q20" s="9">
        <f>'h1'!Q20</f>
        <v>0.10000000000000053</v>
      </c>
      <c r="R20" s="9">
        <f>'h1'!R20</f>
        <v>0.029578371419375138</v>
      </c>
      <c r="S20" s="9">
        <f>'h1'!S20</f>
        <v>0.0704216285806254</v>
      </c>
      <c r="T20" s="9">
        <f>'h1'!T20</f>
        <v>11.768939393939394</v>
      </c>
      <c r="U20" s="9">
        <f>'h1'!U20</f>
        <v>15.263003747609908</v>
      </c>
      <c r="V20" s="9">
        <f>'h1'!V20</f>
        <v>0</v>
      </c>
      <c r="W20" s="9">
        <f>'h1'!W20</f>
        <v>0</v>
      </c>
      <c r="X20" s="9">
        <f>'h1'!X20</f>
        <v>0</v>
      </c>
      <c r="Y20" s="9">
        <f>'h1'!Y20</f>
        <v>0</v>
      </c>
      <c r="Z20" s="9">
        <f>'h1'!Z20</f>
        <v>2.380848748639826</v>
      </c>
      <c r="AA20" s="9">
        <f>'h1'!AA20</f>
        <v>310.7</v>
      </c>
      <c r="AB20" s="9">
        <f>'h1'!AB20</f>
        <v>310.7</v>
      </c>
      <c r="AC20" s="9">
        <f>'h1'!AC20</f>
        <v>310.7</v>
      </c>
      <c r="AD20" s="9">
        <f>'h1'!AD20</f>
        <v>310.7</v>
      </c>
      <c r="AE20" s="46" t="s">
        <v>220</v>
      </c>
      <c r="AF20" s="9">
        <v>37.3851509</v>
      </c>
      <c r="AG20" s="9">
        <v>-5.9899354</v>
      </c>
    </row>
    <row r="21">
      <c r="A21" s="10">
        <f>'h1'!A21</f>
        <v>20</v>
      </c>
      <c r="B21" t="str">
        <f>'h1'!B21</f>
        <v>Atracción Turística</v>
      </c>
      <c r="C21" t="str">
        <f>'h1'!C21</f>
        <v>Acuario de Sevilla</v>
      </c>
      <c r="D21" t="str">
        <f>'h1'!D21</f>
        <v>TripAdvisor</v>
      </c>
      <c r="E21" s="9">
        <f>'h1'!E21</f>
        <v>14846</v>
      </c>
      <c r="F21" s="9">
        <f>'h1'!F21</f>
        <v>702</v>
      </c>
      <c r="G21" s="9">
        <f>'h1'!G21</f>
        <v>4.5</v>
      </c>
      <c r="H21" s="9">
        <f>'h1'!H21</f>
        <v>3.9</v>
      </c>
      <c r="I21" s="9">
        <f>'h1'!I21</f>
        <v>4.472909698996656</v>
      </c>
      <c r="J21" s="9">
        <f>'h1'!J21</f>
        <v>1</v>
      </c>
      <c r="K21" s="9">
        <f>'h1'!K21</f>
        <v>24</v>
      </c>
      <c r="L21" s="9">
        <f>'h1'!L21</f>
        <v>0</v>
      </c>
      <c r="M21" s="9">
        <f>'h1'!M21</f>
        <v>0</v>
      </c>
      <c r="N21" s="9">
        <f>'h1'!N21</f>
        <v>0</v>
      </c>
      <c r="O21" s="9">
        <f>'h1'!O21</f>
        <v>0</v>
      </c>
      <c r="P21" s="9">
        <f>'h1'!P21</f>
        <v>1730</v>
      </c>
      <c r="Q21" s="9">
        <f>'h1'!Q21</f>
        <v>0.6000000000000001</v>
      </c>
      <c r="R21" s="9">
        <f>'h1'!R21</f>
        <v>0.027090301003344308</v>
      </c>
      <c r="S21" s="9">
        <f>'h1'!S21</f>
        <v>0.5729096989966558</v>
      </c>
      <c r="T21" s="9">
        <f>'h1'!T21</f>
        <v>8.98728323699422</v>
      </c>
      <c r="U21" s="9">
        <f>'h1'!U21</f>
        <v>18.7489816690377</v>
      </c>
      <c r="V21" s="9">
        <f>'h1'!V21</f>
        <v>0</v>
      </c>
      <c r="W21" s="9">
        <f>'h1'!W21</f>
        <v>0</v>
      </c>
      <c r="X21" s="9">
        <f>'h1'!X21</f>
        <v>0</v>
      </c>
      <c r="Y21" s="9">
        <f>'h1'!Y21</f>
        <v>0</v>
      </c>
      <c r="Z21" s="9">
        <f>'h1'!Z21</f>
        <v>21.14814814814815</v>
      </c>
      <c r="AA21" s="9">
        <f>'h1'!AA21</f>
        <v>1554.8</v>
      </c>
      <c r="AB21" s="9">
        <f>'h1'!AB21</f>
        <v>1554.8</v>
      </c>
      <c r="AC21" s="9">
        <f>'h1'!AC21</f>
        <v>1554.8</v>
      </c>
      <c r="AD21" s="9">
        <f>'h1'!AD21</f>
        <v>1554.8</v>
      </c>
      <c r="AE21" s="46" t="s">
        <v>220</v>
      </c>
      <c r="AF21" s="9">
        <v>37.3707103</v>
      </c>
      <c r="AG21" s="9">
        <v>-5.9910478</v>
      </c>
    </row>
    <row r="22">
      <c r="A22" s="10">
        <f>'h1'!A22</f>
        <v>21</v>
      </c>
      <c r="B22" t="str">
        <f>'h1'!B22</f>
        <v>Atracción Turística</v>
      </c>
      <c r="C22" t="str">
        <f>'h1'!C22</f>
        <v>Jardines de los Reales Alcázares</v>
      </c>
      <c r="D22" t="str">
        <f>'h1'!D22</f>
        <v>TripAdvisor</v>
      </c>
      <c r="E22" s="9">
        <f>'h1'!E22</f>
        <v>297</v>
      </c>
      <c r="F22" s="9">
        <f>'h1'!F22</f>
        <v>1851</v>
      </c>
      <c r="G22" s="9">
        <f>'h1'!G22</f>
        <v>4.8</v>
      </c>
      <c r="H22" s="9">
        <f>'h1'!H22</f>
        <v>4.7</v>
      </c>
      <c r="I22" s="9">
        <f>'h1'!I22</f>
        <v>4.7138268156424585</v>
      </c>
      <c r="J22" s="9">
        <f>'h1'!J22</f>
        <v>1</v>
      </c>
      <c r="K22" s="9">
        <f>'h1'!K22</f>
        <v>25</v>
      </c>
      <c r="L22" s="9">
        <f>'h1'!L22</f>
        <v>0</v>
      </c>
      <c r="M22" s="9">
        <f>'h1'!M22</f>
        <v>0</v>
      </c>
      <c r="N22" s="9">
        <f>'h1'!N22</f>
        <v>0</v>
      </c>
      <c r="O22" s="9">
        <f>'h1'!O22</f>
        <v>0</v>
      </c>
      <c r="P22" s="9">
        <f>'h1'!P22</f>
        <v>396</v>
      </c>
      <c r="Q22" s="9">
        <f>'h1'!Q22</f>
        <v>0.09999999999999964</v>
      </c>
      <c r="R22" s="9">
        <f>'h1'!R22</f>
        <v>0.08617318435754129</v>
      </c>
      <c r="S22" s="9">
        <f>'h1'!S22</f>
        <v>0.013826815642458357</v>
      </c>
      <c r="T22" s="9">
        <f>'h1'!T22</f>
        <v>5.424242424242424</v>
      </c>
      <c r="U22" s="9">
        <f>'h1'!U22</f>
        <v>15.706632525692147</v>
      </c>
      <c r="V22" s="9">
        <f>'h1'!V22</f>
        <v>0</v>
      </c>
      <c r="W22" s="9">
        <f>'h1'!W22</f>
        <v>0</v>
      </c>
      <c r="X22" s="9">
        <f>'h1'!X22</f>
        <v>0</v>
      </c>
      <c r="Y22" s="9">
        <f>'h1'!Y22</f>
        <v>0</v>
      </c>
      <c r="Z22" s="9">
        <f>'h1'!Z22</f>
        <v>0.16045380875202594</v>
      </c>
      <c r="AA22" s="9">
        <f>'h1'!AA22</f>
        <v>214.8</v>
      </c>
      <c r="AB22" s="9">
        <f>'h1'!AB22</f>
        <v>214.8</v>
      </c>
      <c r="AC22" s="9">
        <f>'h1'!AC22</f>
        <v>214.8</v>
      </c>
      <c r="AD22" s="9">
        <f>'h1'!AD22</f>
        <v>214.8</v>
      </c>
      <c r="AE22" s="46" t="s">
        <v>220</v>
      </c>
      <c r="AF22" s="9">
        <v>37.3830519</v>
      </c>
      <c r="AG22" s="9">
        <v>-5.9902257</v>
      </c>
    </row>
    <row r="23">
      <c r="A23" s="10">
        <f>'h1'!A23</f>
        <v>22</v>
      </c>
      <c r="B23" t="str">
        <f>'h1'!B23</f>
        <v>Atracción Turística</v>
      </c>
      <c r="C23" t="str">
        <f>'h1'!C23</f>
        <v>Archivo General de Indias</v>
      </c>
      <c r="D23" t="str">
        <f>'h1'!D23</f>
        <v>TripAdvisor</v>
      </c>
      <c r="E23" s="9">
        <f>'h1'!E23</f>
        <v>7415</v>
      </c>
      <c r="F23" s="9">
        <f>'h1'!F23</f>
        <v>1258</v>
      </c>
      <c r="G23" s="9">
        <f>'h1'!G23</f>
        <v>4.4</v>
      </c>
      <c r="H23" s="9">
        <f>'h1'!H23</f>
        <v>4</v>
      </c>
      <c r="I23" s="9">
        <f>'h1'!I23</f>
        <v>4.341980860140667</v>
      </c>
      <c r="J23" s="9">
        <f>'h1'!J23</f>
        <v>1</v>
      </c>
      <c r="K23" s="9">
        <f>'h1'!K23</f>
        <v>26</v>
      </c>
      <c r="L23" s="9">
        <f>'h1'!L23</f>
        <v>0</v>
      </c>
      <c r="M23" s="9">
        <f>'h1'!M23</f>
        <v>0</v>
      </c>
      <c r="N23" s="9">
        <f>'h1'!N23</f>
        <v>0</v>
      </c>
      <c r="O23" s="9">
        <f>'h1'!O23</f>
        <v>0</v>
      </c>
      <c r="P23" s="9">
        <f>'h1'!P23</f>
        <v>182</v>
      </c>
      <c r="Q23" s="9">
        <f>'h1'!Q23</f>
        <v>0.40000000000000036</v>
      </c>
      <c r="R23" s="9">
        <f>'h1'!R23</f>
        <v>0.05801913985933371</v>
      </c>
      <c r="S23" s="9">
        <f>'h1'!S23</f>
        <v>0.34198086014066664</v>
      </c>
      <c r="T23" s="9">
        <f>'h1'!T23</f>
        <v>47.65384615384615</v>
      </c>
      <c r="U23" s="9">
        <f>'h1'!U23</f>
        <v>17.09945592601945</v>
      </c>
      <c r="V23" s="9">
        <f>'h1'!V23</f>
        <v>0</v>
      </c>
      <c r="W23" s="9">
        <f>'h1'!W23</f>
        <v>0</v>
      </c>
      <c r="X23" s="9">
        <f>'h1'!X23</f>
        <v>0</v>
      </c>
      <c r="Y23" s="9">
        <f>'h1'!Y23</f>
        <v>0</v>
      </c>
      <c r="Z23" s="9">
        <f>'h1'!Z23</f>
        <v>5.894276629570747</v>
      </c>
      <c r="AA23" s="9">
        <f>'h1'!AA23</f>
        <v>867.3</v>
      </c>
      <c r="AB23" s="9">
        <f>'h1'!AB23</f>
        <v>867.3</v>
      </c>
      <c r="AC23" s="9">
        <f>'h1'!AC23</f>
        <v>867.3</v>
      </c>
      <c r="AD23" s="9">
        <f>'h1'!AD23</f>
        <v>867.3</v>
      </c>
      <c r="AE23" s="46" t="s">
        <v>220</v>
      </c>
      <c r="AF23" s="9">
        <v>37.384628</v>
      </c>
      <c r="AG23" s="9">
        <v>-5.9932581</v>
      </c>
    </row>
    <row r="24" ht="30.75">
      <c r="A24" s="10">
        <f>'h1'!A24</f>
        <v>23</v>
      </c>
      <c r="B24" t="str">
        <f>'h1'!B24</f>
        <v>Atracción Turística</v>
      </c>
      <c r="C24" t="str">
        <f>'h1'!C24</f>
        <v>AIRE Ancient Baths Sevilla</v>
      </c>
      <c r="D24" t="str">
        <f>'h1'!D24</f>
        <v>TripAdvisor</v>
      </c>
      <c r="E24" s="9">
        <f>'h1'!E24</f>
        <v>6837</v>
      </c>
      <c r="F24" s="9">
        <f>'h1'!F24</f>
        <v>1931</v>
      </c>
      <c r="G24" s="9">
        <f>'h1'!G24</f>
        <v>4.5</v>
      </c>
      <c r="H24" s="9">
        <f>'h1'!H24</f>
        <v>4.2</v>
      </c>
      <c r="I24" s="9">
        <f>'h1'!I24</f>
        <v>4.433930200729927</v>
      </c>
      <c r="J24" s="9">
        <f>'h1'!J24</f>
        <v>1</v>
      </c>
      <c r="K24" s="9">
        <f>'h1'!K24</f>
        <v>27</v>
      </c>
      <c r="L24" s="9">
        <f>'h1'!L24</f>
        <v>0</v>
      </c>
      <c r="M24" s="9">
        <f>'h1'!M24</f>
        <v>0</v>
      </c>
      <c r="N24" s="9">
        <f>'h1'!N24</f>
        <v>50</v>
      </c>
      <c r="O24" s="9">
        <f>'h1'!O24</f>
        <v>5</v>
      </c>
      <c r="P24" s="9">
        <f>'h1'!P24</f>
        <v>289</v>
      </c>
      <c r="Q24" s="9">
        <f>'h1'!Q24</f>
        <v>0.2999999999999998</v>
      </c>
      <c r="R24" s="9">
        <f>'h1'!R24</f>
        <v>0.06606979927007295</v>
      </c>
      <c r="S24" s="9">
        <f>'h1'!S24</f>
        <v>0.23393020072992687</v>
      </c>
      <c r="T24" s="9">
        <f>'h1'!T24</f>
        <v>30.33910034602076</v>
      </c>
      <c r="U24" s="9">
        <f>'h1'!U24</f>
        <v>17.482545787836322</v>
      </c>
      <c r="V24" s="9">
        <f>'h1'!V24</f>
        <v>0</v>
      </c>
      <c r="W24" s="9">
        <f>'h1'!W24</f>
        <v>0</v>
      </c>
      <c r="X24" s="9">
        <f>'h1'!X24</f>
        <v>17.301038062283737</v>
      </c>
      <c r="Y24" s="9">
        <f>'h1'!Y24</f>
        <v>1.7301038062283738</v>
      </c>
      <c r="Z24" s="9">
        <f>'h1'!Z24</f>
        <v>3.540652511651994</v>
      </c>
      <c r="AA24" s="9">
        <f>'h1'!AA24</f>
        <v>876.8</v>
      </c>
      <c r="AB24" s="9">
        <f>'h1'!AB24</f>
        <v>876.8</v>
      </c>
      <c r="AC24" s="9">
        <f>'h1'!AC24</f>
        <v>1.7500998003992014</v>
      </c>
      <c r="AD24" s="9">
        <f>'h1'!AD24</f>
        <v>17.192156862745097</v>
      </c>
      <c r="AE24" s="46" t="s">
        <v>223</v>
      </c>
      <c r="AF24" s="9">
        <v>37.387822</v>
      </c>
      <c r="AG24" s="9">
        <v>-5.990053</v>
      </c>
    </row>
    <row r="25">
      <c r="A25" s="10">
        <f>'h1'!A25</f>
        <v>24</v>
      </c>
      <c r="B25" t="str">
        <f>'h1'!B25</f>
        <v>Atracción Turística</v>
      </c>
      <c r="C25" t="str">
        <f>'h1'!C25</f>
        <v>Ceramicas Sevilla 1952</v>
      </c>
      <c r="D25" t="str">
        <f>'h1'!D25</f>
        <v>TripAdvisor</v>
      </c>
      <c r="E25" s="9">
        <f>'h1'!E25</f>
        <v>1045</v>
      </c>
      <c r="F25" s="9">
        <f>'h1'!F25</f>
        <v>122</v>
      </c>
      <c r="G25" s="9">
        <f>'h1'!G25</f>
        <v>5</v>
      </c>
      <c r="H25" s="9">
        <f>'h1'!H25</f>
        <v>4.9</v>
      </c>
      <c r="I25" s="9">
        <f>'h1'!I25</f>
        <v>4.989545844044559</v>
      </c>
      <c r="J25" s="9">
        <f>'h1'!J25</f>
        <v>1</v>
      </c>
      <c r="K25" s="9">
        <f>'h1'!K25</f>
        <v>30</v>
      </c>
      <c r="L25" s="9">
        <f>'h1'!L25</f>
        <v>0</v>
      </c>
      <c r="M25" s="9">
        <f>'h1'!M25</f>
        <v>0</v>
      </c>
      <c r="N25" s="9">
        <f>'h1'!N25</f>
        <v>0</v>
      </c>
      <c r="O25" s="9">
        <f>'h1'!O25</f>
        <v>0</v>
      </c>
      <c r="P25" s="9">
        <f>'h1'!P25</f>
        <v>398</v>
      </c>
      <c r="Q25" s="9">
        <f>'h1'!Q25</f>
        <v>0.09999999999999964</v>
      </c>
      <c r="R25" s="9">
        <f>'h1'!R25</f>
        <v>0.010454155955440747</v>
      </c>
      <c r="S25" s="9">
        <f>'h1'!S25</f>
        <v>0.0895458440445589</v>
      </c>
      <c r="T25" s="9">
        <f>'h1'!T25</f>
        <v>2.9321608040201004</v>
      </c>
      <c r="U25" s="9">
        <f>'h1'!U25</f>
        <v>15.303290643171366</v>
      </c>
      <c r="V25" s="9">
        <f>'h1'!V25</f>
        <v>0</v>
      </c>
      <c r="W25" s="9">
        <f>'h1'!W25</f>
        <v>0</v>
      </c>
      <c r="X25" s="9">
        <f>'h1'!X25</f>
        <v>0</v>
      </c>
      <c r="Y25" s="9">
        <f>'h1'!Y25</f>
        <v>0</v>
      </c>
      <c r="Z25" s="9">
        <f>'h1'!Z25</f>
        <v>8.565573770491802</v>
      </c>
      <c r="AA25" s="9">
        <f>'h1'!AA25</f>
        <v>116.7</v>
      </c>
      <c r="AB25" s="9">
        <f>'h1'!AB25</f>
        <v>116.7</v>
      </c>
      <c r="AC25" s="9">
        <f>'h1'!AC25</f>
        <v>116.7</v>
      </c>
      <c r="AD25" s="9">
        <f>'h1'!AD25</f>
        <v>116.7</v>
      </c>
      <c r="AE25" s="46" t="s">
        <v>220</v>
      </c>
      <c r="AF25" s="9">
        <v>37.3895325</v>
      </c>
      <c r="AG25" s="9">
        <v>-5.9942496</v>
      </c>
    </row>
    <row r="26">
      <c r="A26" s="10">
        <f>'h1'!A26</f>
        <v>25</v>
      </c>
      <c r="B26" t="str">
        <f>'h1'!B26</f>
        <v>Atracción Turística</v>
      </c>
      <c r="C26" t="str">
        <f>'h1'!C26</f>
        <v>Torre del Oro</v>
      </c>
      <c r="D26" t="str">
        <f>'h1'!D26</f>
        <v>TripAdvisor</v>
      </c>
      <c r="E26" s="9">
        <f>'h1'!E26</f>
        <v>53575</v>
      </c>
      <c r="F26" s="9">
        <f>'h1'!F26</f>
        <v>2469</v>
      </c>
      <c r="G26" s="9">
        <f>'h1'!G26</f>
        <v>4.5</v>
      </c>
      <c r="H26" s="9">
        <f>'h1'!H26</f>
        <v>3.9</v>
      </c>
      <c r="I26" s="9">
        <f>'h1'!I26</f>
        <v>4.473567197202199</v>
      </c>
      <c r="J26" s="9">
        <f>'h1'!J26</f>
        <v>1</v>
      </c>
      <c r="K26" s="9">
        <f>'h1'!K26</f>
        <v>33</v>
      </c>
      <c r="L26" s="9">
        <f>'h1'!L26</f>
        <v>0</v>
      </c>
      <c r="M26" s="9">
        <f>'h1'!M26</f>
        <v>0</v>
      </c>
      <c r="N26" s="9">
        <f>'h1'!N26</f>
        <v>0</v>
      </c>
      <c r="O26" s="9">
        <f>'h1'!O26</f>
        <v>0</v>
      </c>
      <c r="P26" s="9">
        <f>'h1'!P26</f>
        <v>522</v>
      </c>
      <c r="Q26" s="9">
        <f>'h1'!Q26</f>
        <v>0.6000000000000001</v>
      </c>
      <c r="R26" s="9">
        <f>'h1'!R26</f>
        <v>0.026432802797801358</v>
      </c>
      <c r="S26" s="9">
        <f>'h1'!S26</f>
        <v>0.5735671972021987</v>
      </c>
      <c r="T26" s="9">
        <f>'h1'!T26</f>
        <v>107.3639846743295</v>
      </c>
      <c r="U26" s="9">
        <f>'h1'!U26</f>
        <v>21.24286412587437</v>
      </c>
      <c r="V26" s="9">
        <f>'h1'!V26</f>
        <v>0</v>
      </c>
      <c r="W26" s="9">
        <f>'h1'!W26</f>
        <v>0</v>
      </c>
      <c r="X26" s="9">
        <f>'h1'!X26</f>
        <v>0</v>
      </c>
      <c r="Y26" s="9">
        <f>'h1'!Y26</f>
        <v>0</v>
      </c>
      <c r="Z26" s="9">
        <f>'h1'!Z26</f>
        <v>21.69906844876468</v>
      </c>
      <c r="AA26" s="9">
        <f>'h1'!AA26</f>
        <v>5604.4</v>
      </c>
      <c r="AB26" s="9">
        <f>'h1'!AB26</f>
        <v>5604.4</v>
      </c>
      <c r="AC26" s="9">
        <f>'h1'!AC26</f>
        <v>5604.4</v>
      </c>
      <c r="AD26" s="9">
        <f>'h1'!AD26</f>
        <v>5604.4</v>
      </c>
      <c r="AE26" s="46" t="s">
        <v>220</v>
      </c>
      <c r="AF26" s="9">
        <v>37.3824529</v>
      </c>
      <c r="AG26" s="9">
        <v>-5.9963128</v>
      </c>
    </row>
    <row r="27" ht="30.75">
      <c r="A27" s="10">
        <f>'h1'!A27</f>
        <v>26</v>
      </c>
      <c r="B27" t="str">
        <f>'h1'!B27</f>
        <v>Atracción Turística</v>
      </c>
      <c r="C27" t="str">
        <f>'h1'!C27</f>
        <v>Parque de los Descubrimientos</v>
      </c>
      <c r="D27" t="str">
        <f>'h1'!D27</f>
        <v>Intruso</v>
      </c>
      <c r="E27" s="9">
        <f>'h1'!E27</f>
        <v>1503</v>
      </c>
      <c r="F27" s="9">
        <f>'h1'!F27</f>
        <v>1</v>
      </c>
      <c r="G27" s="9">
        <f>'h1'!G27</f>
        <v>4.3</v>
      </c>
      <c r="H27" s="9">
        <f>'h1'!H27</f>
        <v>0</v>
      </c>
      <c r="I27" s="9">
        <f>'h1'!I27</f>
        <v>4.297140957446809</v>
      </c>
      <c r="J27" s="9">
        <f>'h1'!J27</f>
        <v>0</v>
      </c>
      <c r="K27" s="9">
        <f>'h1'!K27</f>
        <v>0</v>
      </c>
      <c r="L27" s="9">
        <f>'h1'!L27</f>
        <v>806</v>
      </c>
      <c r="M27" s="9">
        <f>'h1'!M27</f>
        <v>0</v>
      </c>
      <c r="N27" s="9">
        <f>'h1'!N27</f>
        <v>0</v>
      </c>
      <c r="O27" s="9">
        <f>'h1'!O27</f>
        <v>403</v>
      </c>
      <c r="P27" s="9">
        <f>'h1'!P27</f>
        <v>1540</v>
      </c>
      <c r="Q27" s="9">
        <f>'h1'!Q27</f>
        <v>4.3</v>
      </c>
      <c r="R27" s="9">
        <f>'h1'!R27</f>
        <v>4.297140957446809</v>
      </c>
      <c r="S27" s="9">
        <f>'h1'!S27</f>
        <v>4.297140957446809</v>
      </c>
      <c r="T27" s="9">
        <f>'h1'!T27</f>
        <v>0.9766233766233766</v>
      </c>
      <c r="U27" s="9">
        <f>'h1'!U27</f>
        <v>13.65308180913329</v>
      </c>
      <c r="V27" s="9">
        <f>'h1'!V27</f>
        <v>52.33766233766234</v>
      </c>
      <c r="W27" s="9">
        <f>'h1'!W27</f>
        <v>0</v>
      </c>
      <c r="X27" s="9">
        <f>'h1'!X27</f>
        <v>0</v>
      </c>
      <c r="Y27" s="9">
        <f>'h1'!Y27</f>
        <v>26.16883116883117</v>
      </c>
      <c r="Z27" s="9">
        <f>'h1'!Z27</f>
        <v>1503</v>
      </c>
      <c r="AA27" s="9">
        <f>'h1'!AA27</f>
        <v>0.018657734772360747</v>
      </c>
      <c r="AB27" s="9">
        <f>'h1'!AB27</f>
        <v>150.4</v>
      </c>
      <c r="AC27" s="9">
        <f>'h1'!AC27</f>
        <v>150.4</v>
      </c>
      <c r="AD27" s="9">
        <f>'h1'!AD27</f>
        <v>0.0373108409823865</v>
      </c>
      <c r="AE27" s="46" t="s">
        <v>221</v>
      </c>
      <c r="AF27" s="9">
        <v>37.3980364</v>
      </c>
      <c r="AG27" s="9">
        <v>-6.001436</v>
      </c>
    </row>
    <row r="28" ht="30.75">
      <c r="A28" s="10">
        <f>'h1'!A28</f>
        <v>27</v>
      </c>
      <c r="B28" t="str">
        <f>'h1'!B28</f>
        <v>Atracción Turística</v>
      </c>
      <c r="C28" t="str">
        <f>'h1'!C28</f>
        <v>Estanque Central de Plaza de América</v>
      </c>
      <c r="D28" t="str">
        <f>'h1'!D28</f>
        <v>Intruso</v>
      </c>
      <c r="E28" s="9">
        <f>'h1'!E28</f>
        <v>52</v>
      </c>
      <c r="F28" s="9">
        <f>'h1'!F28</f>
        <v>657</v>
      </c>
      <c r="G28" s="9">
        <f>'h1'!G28</f>
        <v>4.8</v>
      </c>
      <c r="H28" s="9">
        <f>'h1'!H28</f>
        <v>4.4</v>
      </c>
      <c r="I28" s="9">
        <f>'h1'!I28</f>
        <v>4.429337094499295</v>
      </c>
      <c r="J28" s="9">
        <f>'h1'!J28</f>
        <v>1</v>
      </c>
      <c r="K28" s="9">
        <f>'h1'!K28</f>
        <v>40</v>
      </c>
      <c r="L28" s="9">
        <f>'h1'!L28</f>
        <v>537</v>
      </c>
      <c r="M28" s="9">
        <f>'h1'!M28</f>
        <v>93</v>
      </c>
      <c r="N28" s="9">
        <f>'h1'!N28</f>
        <v>0</v>
      </c>
      <c r="O28" s="9">
        <f>'h1'!O28</f>
        <v>305.7</v>
      </c>
      <c r="P28" s="9">
        <f>'h1'!P28</f>
        <v>1700</v>
      </c>
      <c r="Q28" s="9">
        <f>'h1'!Q28</f>
        <v>0.39999999999999947</v>
      </c>
      <c r="R28" s="9">
        <f>'h1'!R28</f>
        <v>0.029337094499294558</v>
      </c>
      <c r="S28" s="9">
        <f>'h1'!S28</f>
        <v>0.029337094499294558</v>
      </c>
      <c r="T28" s="9">
        <f>'h1'!T28</f>
        <v>0.41705882352941176</v>
      </c>
      <c r="U28" s="9">
        <f>'h1'!U28</f>
        <v>12.626473112791118</v>
      </c>
      <c r="V28" s="9">
        <f>'h1'!V28</f>
        <v>31.588235294117645</v>
      </c>
      <c r="W28" s="9">
        <f>'h1'!W28</f>
        <v>5.470588235294118</v>
      </c>
      <c r="X28" s="9">
        <f>'h1'!X28</f>
        <v>0</v>
      </c>
      <c r="Y28" s="9">
        <f>'h1'!Y28</f>
        <v>17.98235294117647</v>
      </c>
      <c r="Z28" s="9">
        <f>'h1'!Z28</f>
        <v>0.0791476407914764</v>
      </c>
      <c r="AA28" s="9">
        <f>'h1'!AA28</f>
        <v>0.013200521318190281</v>
      </c>
      <c r="AB28" s="9">
        <f>'h1'!AB28</f>
        <v>0.0761546723952739</v>
      </c>
      <c r="AC28" s="9">
        <f>'h1'!AC28</f>
        <v>70.9</v>
      </c>
      <c r="AD28" s="9">
        <f>'h1'!AD28</f>
        <v>0.023185088293001963</v>
      </c>
      <c r="AE28" s="46" t="s">
        <v>221</v>
      </c>
      <c r="AF28" s="9">
        <v>37.371506</v>
      </c>
      <c r="AG28" s="9">
        <v>-5.987465</v>
      </c>
    </row>
    <row r="29" ht="30.75">
      <c r="A29" s="10">
        <f>'h1'!A29</f>
        <v>28</v>
      </c>
      <c r="B29" t="str">
        <f>'h1'!B29</f>
        <v>Atracción Turística</v>
      </c>
      <c r="C29" t="str">
        <f>'h1'!C29</f>
        <v>Torre Sur</v>
      </c>
      <c r="D29" t="str">
        <f>'h1'!D29</f>
        <v>Intruso</v>
      </c>
      <c r="E29" s="9">
        <f>'h1'!E29</f>
        <v>165</v>
      </c>
      <c r="F29" s="9">
        <f>'h1'!F29</f>
        <v>3</v>
      </c>
      <c r="G29" s="9">
        <f>'h1'!G29</f>
        <v>4.8</v>
      </c>
      <c r="H29" s="9">
        <f>'h1'!H29</f>
        <v>4.3</v>
      </c>
      <c r="I29" s="9">
        <f>'h1'!I29</f>
        <v>4.791071428571429</v>
      </c>
      <c r="J29" s="9">
        <f>'h1'!J29</f>
        <v>1</v>
      </c>
      <c r="K29" s="9">
        <f>'h1'!K29</f>
        <v>254</v>
      </c>
      <c r="L29" s="9">
        <f>'h1'!L29</f>
        <v>347</v>
      </c>
      <c r="M29" s="9">
        <f>'h1'!M29</f>
        <v>0</v>
      </c>
      <c r="N29" s="9">
        <f>'h1'!N29</f>
        <v>0</v>
      </c>
      <c r="O29" s="9">
        <f>'h1'!O29</f>
        <v>173.5</v>
      </c>
      <c r="P29" s="9">
        <f>'h1'!P29</f>
        <v>1250</v>
      </c>
      <c r="Q29" s="9">
        <f>'h1'!Q29</f>
        <v>0.5</v>
      </c>
      <c r="R29" s="9">
        <f>'h1'!R29</f>
        <v>0.4910714285714288</v>
      </c>
      <c r="S29" s="9">
        <f>'h1'!S29</f>
        <v>0.4910714285714288</v>
      </c>
      <c r="T29" s="9">
        <f>'h1'!T29</f>
        <v>0.1344</v>
      </c>
      <c r="U29" s="9">
        <f>'h1'!U29</f>
        <v>10.66161571941159</v>
      </c>
      <c r="V29" s="9">
        <f>'h1'!V29</f>
        <v>27.76</v>
      </c>
      <c r="W29" s="9">
        <f>'h1'!W29</f>
        <v>0</v>
      </c>
      <c r="X29" s="9">
        <f>'h1'!X29</f>
        <v>0</v>
      </c>
      <c r="Y29" s="9">
        <f>'h1'!Y29</f>
        <v>13.88</v>
      </c>
      <c r="Z29" s="9">
        <f>'h1'!Z29</f>
        <v>55</v>
      </c>
      <c r="AA29" s="9">
        <f>'h1'!AA29</f>
        <v>0.0048401037165082105</v>
      </c>
      <c r="AB29" s="9">
        <f>'h1'!AB29</f>
        <v>16.8</v>
      </c>
      <c r="AC29" s="9">
        <f>'h1'!AC29</f>
        <v>16.8</v>
      </c>
      <c r="AD29" s="9">
        <f>'h1'!AD29</f>
        <v>0.00967741935483871</v>
      </c>
      <c r="AE29" s="46" t="s">
        <v>221</v>
      </c>
      <c r="AF29" s="9">
        <v>37.3758898</v>
      </c>
      <c r="AG29" s="9">
        <v>-5.9868289</v>
      </c>
    </row>
    <row r="30" ht="30.75">
      <c r="A30" s="10">
        <f>'h1'!A30</f>
        <v>29</v>
      </c>
      <c r="B30" t="str">
        <f>'h1'!B30</f>
        <v>Atracción Turística</v>
      </c>
      <c r="C30" t="str">
        <f>'h1'!C30</f>
        <v>Mosaico Guadalquivir</v>
      </c>
      <c r="D30" t="str">
        <f>'h1'!D30</f>
        <v>Intruso</v>
      </c>
      <c r="E30" s="9">
        <f>'h1'!E30</f>
        <v>21</v>
      </c>
      <c r="F30" s="9">
        <f>'h1'!F30</f>
        <v>1</v>
      </c>
      <c r="G30" s="9">
        <f>'h1'!G30</f>
        <v>4.5</v>
      </c>
      <c r="H30" s="9">
        <f>'h1'!H30</f>
        <v>0</v>
      </c>
      <c r="I30" s="9">
        <f>'h1'!I30</f>
        <v>4.295454545454546</v>
      </c>
      <c r="J30" s="9">
        <f>'h1'!J30</f>
        <v>0</v>
      </c>
      <c r="K30" s="9">
        <f>'h1'!K30</f>
        <v>0</v>
      </c>
      <c r="L30" s="9">
        <f>'h1'!L30</f>
        <v>182</v>
      </c>
      <c r="M30" s="9">
        <f>'h1'!M30</f>
        <v>0</v>
      </c>
      <c r="N30" s="9">
        <f>'h1'!N30</f>
        <v>0</v>
      </c>
      <c r="O30" s="9">
        <f>'h1'!O30</f>
        <v>91</v>
      </c>
      <c r="P30" s="9">
        <f>'h1'!P30</f>
        <v>864</v>
      </c>
      <c r="Q30" s="9">
        <f>'h1'!Q30</f>
        <v>4.5</v>
      </c>
      <c r="R30" s="9">
        <f>'h1'!R30</f>
        <v>4.295454545454546</v>
      </c>
      <c r="S30" s="9">
        <f>'h1'!S30</f>
        <v>4.295454545454546</v>
      </c>
      <c r="T30" s="9">
        <f>'h1'!T30</f>
        <v>0.02546296296296296</v>
      </c>
      <c r="U30" s="9">
        <f>'h1'!U30</f>
        <v>5.766315606259022</v>
      </c>
      <c r="V30" s="9">
        <f>'h1'!V30</f>
        <v>21.064814814814813</v>
      </c>
      <c r="W30" s="9">
        <f>'h1'!W30</f>
        <v>0</v>
      </c>
      <c r="X30" s="9">
        <f>'h1'!X30</f>
        <v>0</v>
      </c>
      <c r="Y30" s="9">
        <f>'h1'!Y30</f>
        <v>10.532407407407407</v>
      </c>
      <c r="Z30" s="9">
        <f>'h1'!Z30</f>
        <v>21</v>
      </c>
      <c r="AA30" s="9">
        <f>'h1'!AA30</f>
        <v>0.0012081274025260845</v>
      </c>
      <c r="AB30" s="9">
        <f>'h1'!AB30</f>
        <v>2.2</v>
      </c>
      <c r="AC30" s="9">
        <f>'h1'!AC30</f>
        <v>2.2</v>
      </c>
      <c r="AD30" s="9">
        <f>'h1'!AD30</f>
        <v>0.002414928649835346</v>
      </c>
      <c r="AE30" s="46" t="s">
        <v>221</v>
      </c>
      <c r="AF30" s="9">
        <v>37.378481</v>
      </c>
      <c r="AG30" s="9">
        <v>-5.9937008</v>
      </c>
    </row>
    <row r="31" ht="30.75">
      <c r="A31" s="10">
        <f>'h1'!A31</f>
        <v>30</v>
      </c>
      <c r="B31" t="str">
        <f>'h1'!B31</f>
        <v>Atracción Turística</v>
      </c>
      <c r="C31" t="str">
        <f>'h1'!C31</f>
        <v>Fuente de las Cuatro Estaciones</v>
      </c>
      <c r="D31" t="str">
        <f>'h1'!D31</f>
        <v>Intruso</v>
      </c>
      <c r="E31" s="9">
        <f>'h1'!E31</f>
        <v>46</v>
      </c>
      <c r="F31" s="9">
        <f>'h1'!F31</f>
        <v>17</v>
      </c>
      <c r="G31" s="9">
        <f>'h1'!G31</f>
        <v>4.7</v>
      </c>
      <c r="H31" s="9">
        <f>'h1'!H31</f>
        <v>3.7</v>
      </c>
      <c r="I31" s="9">
        <f>'h1'!I31</f>
        <v>4.43015873015873</v>
      </c>
      <c r="J31" s="9">
        <f>'h1'!J31</f>
        <v>1</v>
      </c>
      <c r="K31" s="9">
        <f>'h1'!K31</f>
        <v>187</v>
      </c>
      <c r="L31" s="9">
        <f>'h1'!L31</f>
        <v>13</v>
      </c>
      <c r="M31" s="9">
        <f>'h1'!M31</f>
        <v>390</v>
      </c>
      <c r="N31" s="9">
        <f>'h1'!N31</f>
        <v>0</v>
      </c>
      <c r="O31" s="9">
        <f>'h1'!O31</f>
        <v>162.5</v>
      </c>
      <c r="P31" s="9">
        <f>'h1'!P31</f>
        <v>671</v>
      </c>
      <c r="Q31" s="9">
        <f>'h1'!Q31</f>
        <v>1</v>
      </c>
      <c r="R31" s="9">
        <f>'h1'!R31</f>
        <v>0.7301587301587302</v>
      </c>
      <c r="S31" s="9">
        <f>'h1'!S31</f>
        <v>0.7301587301587302</v>
      </c>
      <c r="T31" s="9">
        <f>'h1'!T31</f>
        <v>0.09388971684053651</v>
      </c>
      <c r="U31" s="9">
        <f>'h1'!U31</f>
        <v>7.971364243690392</v>
      </c>
      <c r="V31" s="9">
        <f>'h1'!V31</f>
        <v>1.9374068554396422</v>
      </c>
      <c r="W31" s="9">
        <f>'h1'!W31</f>
        <v>58.12220566318928</v>
      </c>
      <c r="X31" s="9">
        <f>'h1'!X31</f>
        <v>0</v>
      </c>
      <c r="Y31" s="9">
        <f>'h1'!Y31</f>
        <v>24.21758569299553</v>
      </c>
      <c r="Z31" s="9">
        <f>'h1'!Z31</f>
        <v>2.7058823529411766</v>
      </c>
      <c r="AA31" s="9">
        <f>'h1'!AA31</f>
        <v>0.048091603053435114</v>
      </c>
      <c r="AB31" s="9">
        <f>'h1'!AB31</f>
        <v>0.0016149705203793898</v>
      </c>
      <c r="AC31" s="9">
        <f>'h1'!AC31</f>
        <v>6.3</v>
      </c>
      <c r="AD31" s="9">
        <f>'h1'!AD31</f>
        <v>0.0038745387453874543</v>
      </c>
      <c r="AE31" s="46" t="s">
        <v>222</v>
      </c>
      <c r="AF31" s="9">
        <v>37.3811504</v>
      </c>
      <c r="AG31" s="9">
        <v>-5.9884886</v>
      </c>
    </row>
    <row r="32" ht="30.75">
      <c r="A32" s="10">
        <f>'h1'!A32</f>
        <v>31</v>
      </c>
      <c r="B32" t="str">
        <f>'h1'!B32</f>
        <v>Atracción Turística</v>
      </c>
      <c r="C32" t="str">
        <f>'h1'!C32</f>
        <v>Reja del Diablo</v>
      </c>
      <c r="D32" t="str">
        <f>'h1'!D32</f>
        <v>Intruso</v>
      </c>
      <c r="E32" s="9">
        <f>'h1'!E32</f>
        <v>64</v>
      </c>
      <c r="F32" s="9">
        <f>'h1'!F32</f>
        <v>1</v>
      </c>
      <c r="G32" s="9">
        <f>'h1'!G32</f>
        <v>4.5</v>
      </c>
      <c r="H32" s="9">
        <f>'h1'!H32</f>
        <v>0</v>
      </c>
      <c r="I32" s="9">
        <f>'h1'!I32</f>
        <v>4.430769230769231</v>
      </c>
      <c r="J32" s="9">
        <f>'h1'!J32</f>
        <v>0</v>
      </c>
      <c r="K32" s="9">
        <f>'h1'!K32</f>
        <v>0</v>
      </c>
      <c r="L32" s="9">
        <f>'h1'!L32</f>
        <v>0</v>
      </c>
      <c r="M32" s="9">
        <f>'h1'!M32</f>
        <v>272</v>
      </c>
      <c r="N32" s="9">
        <f>'h1'!N32</f>
        <v>50</v>
      </c>
      <c r="O32" s="9">
        <f>'h1'!O32</f>
        <v>113.80000000000001</v>
      </c>
      <c r="P32" s="9">
        <f>'h1'!P32</f>
        <v>363</v>
      </c>
      <c r="Q32" s="9">
        <f>'h1'!Q32</f>
        <v>4.5</v>
      </c>
      <c r="R32" s="9">
        <f>'h1'!R32</f>
        <v>4.430769230769231</v>
      </c>
      <c r="S32" s="9">
        <f>'h1'!S32</f>
        <v>4.430769230769231</v>
      </c>
      <c r="T32" s="9">
        <f>'h1'!T32</f>
        <v>0.1790633608815427</v>
      </c>
      <c r="U32" s="9">
        <f>'h1'!U32</f>
        <v>8.03260071866373</v>
      </c>
      <c r="V32" s="9">
        <f>'h1'!V32</f>
        <v>0</v>
      </c>
      <c r="W32" s="9">
        <f>'h1'!W32</f>
        <v>74.93112947658402</v>
      </c>
      <c r="X32" s="9">
        <f>'h1'!X32</f>
        <v>13.774104683195592</v>
      </c>
      <c r="Y32" s="9">
        <f>'h1'!Y32</f>
        <v>31.34986225895317</v>
      </c>
      <c r="Z32" s="9">
        <f>'h1'!Z32</f>
        <v>64</v>
      </c>
      <c r="AA32" s="9">
        <f>'h1'!AA32</f>
        <v>6.5</v>
      </c>
      <c r="AB32" s="9">
        <f>'h1'!AB32</f>
        <v>0.0023888276368981987</v>
      </c>
      <c r="AC32" s="9">
        <f>'h1'!AC32</f>
        <v>0.012974051896207584</v>
      </c>
      <c r="AD32" s="9">
        <f>'h1'!AD32</f>
        <v>0.005706760316066725</v>
      </c>
      <c r="AE32" s="46" t="s">
        <v>222</v>
      </c>
      <c r="AF32" s="9">
        <v>37.3849674</v>
      </c>
      <c r="AG32" s="9">
        <v>-5.9887886</v>
      </c>
    </row>
    <row r="33" ht="30.75">
      <c r="A33" s="10">
        <f>'h1'!A33</f>
        <v>32</v>
      </c>
      <c r="B33" t="str">
        <f>'h1'!B33</f>
        <v>Atracción Turística</v>
      </c>
      <c r="C33" t="str">
        <f>'h1'!C33</f>
        <v>Monte Gurugú</v>
      </c>
      <c r="D33" t="str">
        <f>'h1'!D33</f>
        <v>Intruso</v>
      </c>
      <c r="E33" s="9">
        <f>'h1'!E33</f>
        <v>388</v>
      </c>
      <c r="F33" s="9">
        <f>'h1'!F33</f>
        <v>1</v>
      </c>
      <c r="G33" s="9">
        <f>'h1'!G33</f>
        <v>4.4</v>
      </c>
      <c r="H33" s="9">
        <f>'h1'!H33</f>
        <v>5</v>
      </c>
      <c r="I33" s="9">
        <f>'h1'!I33</f>
        <v>4.401542416452442</v>
      </c>
      <c r="J33" s="9">
        <f>'h1'!J33</f>
        <v>1</v>
      </c>
      <c r="K33" s="9">
        <f>'h1'!K33</f>
        <v>355</v>
      </c>
      <c r="L33" s="9">
        <f>'h1'!L33</f>
        <v>0</v>
      </c>
      <c r="M33" s="9">
        <f>'h1'!M33</f>
        <v>183</v>
      </c>
      <c r="N33" s="9">
        <f>'h1'!N33</f>
        <v>133</v>
      </c>
      <c r="O33" s="9">
        <f>'h1'!O33</f>
        <v>86.5</v>
      </c>
      <c r="P33" s="9">
        <f>'h1'!P33</f>
        <v>1520</v>
      </c>
      <c r="Q33" s="9">
        <f>'h1'!Q33</f>
        <v>0.5999999999999996</v>
      </c>
      <c r="R33" s="9">
        <f>'h1'!R33</f>
        <v>0.5984575835475576</v>
      </c>
      <c r="S33" s="9">
        <f>'h1'!S33</f>
        <v>0.5984575835475576</v>
      </c>
      <c r="T33" s="9">
        <f>'h1'!T33</f>
        <v>0.25592105263157894</v>
      </c>
      <c r="U33" s="9">
        <f>'h1'!U33</f>
        <v>11.399773026709195</v>
      </c>
      <c r="V33" s="9">
        <f>'h1'!V33</f>
        <v>0</v>
      </c>
      <c r="W33" s="9">
        <f>'h1'!W33</f>
        <v>12.039473684210526</v>
      </c>
      <c r="X33" s="9">
        <f>'h1'!X33</f>
        <v>8.75</v>
      </c>
      <c r="Y33" s="9">
        <f>'h1'!Y33</f>
        <v>5.690789473684211</v>
      </c>
      <c r="Z33" s="9">
        <f>'h1'!Z33</f>
        <v>388</v>
      </c>
      <c r="AA33" s="9">
        <f>'h1'!AA33</f>
        <v>38.9</v>
      </c>
      <c r="AB33" s="9">
        <f>'h1'!AB33</f>
        <v>0.021245221190606223</v>
      </c>
      <c r="AC33" s="9">
        <f>'h1'!AC33</f>
        <v>0.02922614575507138</v>
      </c>
      <c r="AD33" s="9">
        <f>'h1'!AD33</f>
        <v>0.044919168591224024</v>
      </c>
      <c r="AE33" s="46" t="s">
        <v>222</v>
      </c>
      <c r="AF33" s="9">
        <v>37.3731444</v>
      </c>
      <c r="AG33" s="9">
        <v>-5.9874985</v>
      </c>
    </row>
    <row r="34" ht="30.75">
      <c r="A34" s="10">
        <f>'h1'!A34</f>
        <v>33</v>
      </c>
      <c r="B34" t="str">
        <f>'h1'!B34</f>
        <v>Atracción Turística</v>
      </c>
      <c r="C34" t="str">
        <f>'h1'!C34</f>
        <v>Arco de la Macarena</v>
      </c>
      <c r="D34" t="str">
        <f>'h1'!D34</f>
        <v>Intruso</v>
      </c>
      <c r="E34" s="9">
        <f>'h1'!E34</f>
        <v>4300</v>
      </c>
      <c r="F34" s="9">
        <f>'h1'!F34</f>
        <v>42</v>
      </c>
      <c r="G34" s="9">
        <f>'h1'!G34</f>
        <v>4.5</v>
      </c>
      <c r="H34" s="9">
        <f>'h1'!H34</f>
        <v>3.8</v>
      </c>
      <c r="I34" s="9">
        <f>'h1'!I34</f>
        <v>4.49322892676186</v>
      </c>
      <c r="J34" s="9">
        <f>'h1'!J34</f>
        <v>1</v>
      </c>
      <c r="K34" s="9">
        <f>'h1'!K34</f>
        <v>107</v>
      </c>
      <c r="L34" s="9">
        <f>'h1'!L34</f>
        <v>33</v>
      </c>
      <c r="M34" s="9">
        <f>'h1'!M34</f>
        <v>163</v>
      </c>
      <c r="N34" s="9">
        <f>'h1'!N34</f>
        <v>150</v>
      </c>
      <c r="O34" s="9">
        <f>'h1'!O34</f>
        <v>96.7</v>
      </c>
      <c r="P34" s="9">
        <f>'h1'!P34</f>
        <v>1870</v>
      </c>
      <c r="Q34" s="9">
        <f>'h1'!Q34</f>
        <v>0.7000000000000002</v>
      </c>
      <c r="R34" s="9">
        <f>'h1'!R34</f>
        <v>0.6932289267618605</v>
      </c>
      <c r="S34" s="9">
        <f>'h1'!S34</f>
        <v>0.6932289267618605</v>
      </c>
      <c r="T34" s="9">
        <f>'h1'!T34</f>
        <v>2.3219251336898394</v>
      </c>
      <c r="U34" s="9">
        <f>'h1'!U34</f>
        <v>16.344973121849918</v>
      </c>
      <c r="V34" s="9">
        <f>'h1'!V34</f>
        <v>1.7647058823529411</v>
      </c>
      <c r="W34" s="9">
        <f>'h1'!W34</f>
        <v>8.71657754010695</v>
      </c>
      <c r="X34" s="9">
        <f>'h1'!X34</f>
        <v>8.02139037433155</v>
      </c>
      <c r="Y34" s="9">
        <f>'h1'!Y34</f>
        <v>5.171122994652406</v>
      </c>
      <c r="Z34" s="9">
        <f>'h1'!Z34</f>
        <v>102.38095238095238</v>
      </c>
      <c r="AA34" s="9">
        <f>'h1'!AA34</f>
        <v>1.3117824773413898</v>
      </c>
      <c r="AB34" s="9">
        <f>'h1'!AB34</f>
        <v>0.2662170447578173</v>
      </c>
      <c r="AC34" s="9">
        <f>'h1'!AC34</f>
        <v>0.28927381745503</v>
      </c>
      <c r="AD34" s="9">
        <f>'h1'!AD34</f>
        <v>0.44855371900826446</v>
      </c>
      <c r="AE34" s="46" t="s">
        <v>222</v>
      </c>
      <c r="AF34" s="9">
        <v>37.4027888</v>
      </c>
      <c r="AG34" s="9">
        <v>-5.9892149</v>
      </c>
    </row>
    <row r="35" ht="30.75">
      <c r="A35" s="10">
        <f>'h1'!A35</f>
        <v>34</v>
      </c>
      <c r="B35" t="str">
        <f>'h1'!B35</f>
        <v>Atracción Turística</v>
      </c>
      <c r="C35" t="str">
        <f>'h1'!C35</f>
        <v>Mural "De Viaje" de Cn6</v>
      </c>
      <c r="D35" t="str">
        <f>'h1'!D35</f>
        <v>Intruso</v>
      </c>
      <c r="E35" s="9">
        <f>'h1'!E35</f>
        <v>1</v>
      </c>
      <c r="F35" s="9">
        <f>'h1'!F35</f>
        <v>1</v>
      </c>
      <c r="G35" s="9">
        <f>'h1'!G35</f>
        <v>1</v>
      </c>
      <c r="H35" s="9">
        <f>'h1'!H35</f>
        <v>0</v>
      </c>
      <c r="I35" s="9">
        <f>'h1'!I35</f>
        <v>0.5</v>
      </c>
      <c r="J35" s="9">
        <f>'h1'!J35</f>
        <v>0</v>
      </c>
      <c r="K35" s="9">
        <f>'h1'!K35</f>
        <v>0</v>
      </c>
      <c r="L35" s="9">
        <f>'h1'!L35</f>
        <v>0</v>
      </c>
      <c r="M35" s="9">
        <f>'h1'!M35</f>
        <v>140</v>
      </c>
      <c r="N35" s="9">
        <f>'h1'!N35</f>
        <v>0</v>
      </c>
      <c r="O35" s="9">
        <f>'h1'!O35</f>
        <v>56</v>
      </c>
      <c r="P35" s="9">
        <f>'h1'!P35</f>
        <v>1140</v>
      </c>
      <c r="Q35" s="9">
        <f>'h1'!Q35</f>
        <v>1</v>
      </c>
      <c r="R35" s="9">
        <f>'h1'!R35</f>
        <v>0.5</v>
      </c>
      <c r="S35" s="9">
        <f>'h1'!S35</f>
        <v>0.5</v>
      </c>
      <c r="T35" s="9">
        <f>'h1'!T35</f>
        <v>0.0017543859649122807</v>
      </c>
      <c r="U35" s="9">
        <f>'h1'!U35</f>
        <v>0.1505149978319906</v>
      </c>
      <c r="V35" s="9">
        <f>'h1'!V35</f>
        <v>0</v>
      </c>
      <c r="W35" s="9">
        <f>'h1'!W35</f>
        <v>12.280701754385964</v>
      </c>
      <c r="X35" s="9">
        <f>'h1'!X35</f>
        <v>0</v>
      </c>
      <c r="Y35" s="9">
        <f>'h1'!Y35</f>
        <v>4.912280701754386</v>
      </c>
      <c r="Z35" s="9">
        <f>'h1'!Z35</f>
        <v>1</v>
      </c>
      <c r="AA35" s="9">
        <f>'h1'!AA35</f>
        <v>0.2</v>
      </c>
      <c r="AB35" s="9">
        <f>'h1'!AB35</f>
        <v>0.00014275517487508923</v>
      </c>
      <c r="AC35" s="9">
        <f>'h1'!AC35</f>
        <v>0.2</v>
      </c>
      <c r="AD35" s="9">
        <f>'h1'!AD35</f>
        <v>0.00035650623885918</v>
      </c>
      <c r="AE35" s="46" t="s">
        <v>222</v>
      </c>
      <c r="AF35" s="9">
        <v>37.3962015</v>
      </c>
      <c r="AG35" s="9">
        <v>-5.9954939</v>
      </c>
    </row>
    <row r="36" ht="30.75">
      <c r="A36" s="10">
        <f>'h1'!A36</f>
        <v>35</v>
      </c>
      <c r="B36" t="str">
        <f>'h1'!B36</f>
        <v>Atracción Turística</v>
      </c>
      <c r="C36" t="str">
        <f>'h1'!C36</f>
        <v>Mural "De Viaje" de Kato</v>
      </c>
      <c r="D36" t="str">
        <f>'h1'!D36</f>
        <v>Intruso</v>
      </c>
      <c r="E36" s="9">
        <f>'h1'!E36</f>
        <v>0</v>
      </c>
      <c r="F36" s="9">
        <f>'h1'!F36</f>
        <v>1</v>
      </c>
      <c r="G36" s="9">
        <f>'h1'!G36</f>
        <v>0</v>
      </c>
      <c r="H36" s="9">
        <f>'h1'!H36</f>
        <v>0</v>
      </c>
      <c r="I36" s="9">
        <f>'h1'!I36</f>
        <v>0</v>
      </c>
      <c r="J36" s="9">
        <f>'h1'!J36</f>
        <v>0</v>
      </c>
      <c r="K36" s="9">
        <f>'h1'!K36</f>
        <v>0</v>
      </c>
      <c r="L36" s="9">
        <f>'h1'!L36</f>
        <v>0</v>
      </c>
      <c r="M36" s="9">
        <f>'h1'!M36</f>
        <v>112</v>
      </c>
      <c r="N36" s="9">
        <f>'h1'!N36</f>
        <v>25</v>
      </c>
      <c r="O36" s="9">
        <f>'h1'!O36</f>
        <v>47.300000000000004</v>
      </c>
      <c r="P36" s="9">
        <f>'h1'!P36</f>
        <v>1560</v>
      </c>
      <c r="Q36" s="9">
        <f>'h1'!Q36</f>
        <v>0</v>
      </c>
      <c r="R36" s="9">
        <f>'h1'!R36</f>
        <v>0</v>
      </c>
      <c r="S36" s="9">
        <f>'h1'!S36</f>
        <v>0</v>
      </c>
      <c r="T36" s="9">
        <f>'h1'!T36</f>
        <v>0.000641025641025641</v>
      </c>
      <c r="U36" s="9">
        <f>'h1'!U36</f>
        <v>0</v>
      </c>
      <c r="V36" s="9">
        <f>'h1'!V36</f>
        <v>0</v>
      </c>
      <c r="W36" s="9">
        <f>'h1'!W36</f>
        <v>7.179487179487179</v>
      </c>
      <c r="X36" s="9">
        <f>'h1'!X36</f>
        <v>1.6025641025641024</v>
      </c>
      <c r="Y36" s="9">
        <f>'h1'!Y36</f>
        <v>3.0320512820512824</v>
      </c>
      <c r="Z36" s="9">
        <f>'h1'!Z36</f>
        <v>0</v>
      </c>
      <c r="AA36" s="9">
        <f>'h1'!AA36</f>
        <v>0.1</v>
      </c>
      <c r="AB36" s="9">
        <f>'h1'!AB36</f>
        <v>8.920606601248885E-5</v>
      </c>
      <c r="AC36" s="9">
        <f>'h1'!AC36</f>
        <v>0.00039840637450199205</v>
      </c>
      <c r="AD36" s="9">
        <f>'h1'!AD36</f>
        <v>0.0002109704641350211</v>
      </c>
      <c r="AE36" s="46" t="s">
        <v>222</v>
      </c>
      <c r="AF36" s="9">
        <v>37.3999944</v>
      </c>
      <c r="AG36" s="9">
        <v>-5.9898475</v>
      </c>
    </row>
    <row r="37" ht="30.75">
      <c r="A37" s="10">
        <f>'h2'!A2</f>
        <v>36</v>
      </c>
      <c r="B37" t="str">
        <f>'h2'!B2</f>
        <v>Restauración</v>
      </c>
      <c r="C37" t="str">
        <f>'h2'!C2</f>
        <v>Alimentari E Diversi</v>
      </c>
      <c r="D37" t="str">
        <f>'h2'!D2</f>
        <v>Tripadvisor</v>
      </c>
      <c r="E37" s="9">
        <f>'h2'!E2</f>
        <v>2879</v>
      </c>
      <c r="F37" s="9">
        <f>'h2'!F2</f>
        <v>3339</v>
      </c>
      <c r="G37" s="9">
        <f>'h2'!G2</f>
        <v>4.7</v>
      </c>
      <c r="H37" s="9">
        <f>'h2'!H2</f>
        <v>4.9</v>
      </c>
      <c r="I37" s="9">
        <f>'h2'!I2</f>
        <v>4.807397877130911</v>
      </c>
      <c r="J37" s="9">
        <f>'h2'!J2</f>
        <v>1</v>
      </c>
      <c r="K37" s="9">
        <f>'h2'!K2</f>
        <v>1</v>
      </c>
      <c r="L37" s="9">
        <f>'h2'!L2</f>
        <v>0</v>
      </c>
      <c r="M37" s="9">
        <f>'h2'!M2</f>
        <v>50</v>
      </c>
      <c r="N37" s="9">
        <f>'h2'!N2</f>
        <v>33</v>
      </c>
      <c r="O37" s="9">
        <f>'h2'!O2</f>
        <v>23.3</v>
      </c>
      <c r="P37" s="9">
        <f>'h2'!P2</f>
        <v>837</v>
      </c>
      <c r="Q37" s="9">
        <f>'h2'!Q2</f>
        <v>0.20000000000000018</v>
      </c>
      <c r="R37" s="9">
        <f>'h2'!R2</f>
        <v>0.09260212286908942</v>
      </c>
      <c r="S37" s="9">
        <f>'h2'!S2</f>
        <v>0.09260212286908942</v>
      </c>
      <c r="T37" s="9">
        <f>'h2'!T2</f>
        <v>7.428912783751493</v>
      </c>
      <c r="U37" s="9">
        <f>'h2'!U2</f>
        <v>18.23758840688162</v>
      </c>
      <c r="V37" s="9">
        <f>'h2'!V2</f>
        <v>0</v>
      </c>
      <c r="W37" s="9">
        <f>'h2'!W2</f>
        <v>5.973715651135006</v>
      </c>
      <c r="X37" s="9">
        <f>'h2'!X2</f>
        <v>3.942652329749104</v>
      </c>
      <c r="Y37" s="9">
        <f>'h2'!Y2</f>
        <v>2.783751493428913</v>
      </c>
      <c r="Z37" s="9">
        <f>'h2'!Z2</f>
        <v>0.8622342018568434</v>
      </c>
      <c r="AA37" s="9">
        <f>'h2'!AA2</f>
        <v>621.8</v>
      </c>
      <c r="AB37" s="9">
        <f>'h2'!AB2</f>
        <v>1.2411177644710578</v>
      </c>
      <c r="AC37" s="9">
        <f>'h2'!AC2</f>
        <v>1.8785498489425982</v>
      </c>
      <c r="AD37" s="9">
        <f>'h2'!AD2</f>
        <v>2.657264957264957</v>
      </c>
      <c r="AE37" s="46" t="s">
        <v>222</v>
      </c>
      <c r="AF37" s="9">
        <v>37.3900372</v>
      </c>
      <c r="AG37" s="9">
        <v>-6.0007322</v>
      </c>
    </row>
    <row r="38">
      <c r="A38" s="10">
        <f>'h2'!A3</f>
        <v>37</v>
      </c>
      <c r="B38" t="str">
        <f>'h2'!B3</f>
        <v>Restauración</v>
      </c>
      <c r="C38" t="str">
        <f>'h2'!C3</f>
        <v>Fatouch</v>
      </c>
      <c r="D38" t="str">
        <f>'h2'!D3</f>
        <v>Tripadvisor</v>
      </c>
      <c r="E38" s="9">
        <f>'h2'!E3</f>
        <v>3302</v>
      </c>
      <c r="F38" s="9">
        <f>'h2'!F3</f>
        <v>2510</v>
      </c>
      <c r="G38" s="9">
        <f>'h2'!G3</f>
        <v>4.7</v>
      </c>
      <c r="H38" s="9">
        <f>'h2'!H3</f>
        <v>4.9</v>
      </c>
      <c r="I38" s="9">
        <f>'h2'!I3</f>
        <v>4.7863730213351685</v>
      </c>
      <c r="J38" s="9">
        <f>'h2'!J3</f>
        <v>1</v>
      </c>
      <c r="K38" s="9">
        <f>'h2'!K3</f>
        <v>2</v>
      </c>
      <c r="L38" s="9">
        <f>'h2'!L3</f>
        <v>0</v>
      </c>
      <c r="M38" s="9">
        <f>'h2'!M3</f>
        <v>0</v>
      </c>
      <c r="N38" s="9">
        <f>'h2'!N3</f>
        <v>0</v>
      </c>
      <c r="O38" s="9">
        <f>'h2'!O3</f>
        <v>0</v>
      </c>
      <c r="P38" s="9">
        <f>'h2'!P3</f>
        <v>1220</v>
      </c>
      <c r="Q38" s="9">
        <f>'h2'!Q3</f>
        <v>0.20000000000000018</v>
      </c>
      <c r="R38" s="9">
        <f>'h2'!R3</f>
        <v>0.08637302133516833</v>
      </c>
      <c r="S38" s="9">
        <f>'h2'!S3</f>
        <v>0.11362697866483185</v>
      </c>
      <c r="T38" s="9">
        <f>'h2'!T3</f>
        <v>4.7639344262295085</v>
      </c>
      <c r="U38" s="9">
        <f>'h2'!U3</f>
        <v>18.01746652228938</v>
      </c>
      <c r="V38" s="9">
        <f>'h2'!V3</f>
        <v>0</v>
      </c>
      <c r="W38" s="9">
        <f>'h2'!W3</f>
        <v>0</v>
      </c>
      <c r="X38" s="9">
        <f>'h2'!X3</f>
        <v>0</v>
      </c>
      <c r="Y38" s="9">
        <f>'h2'!Y3</f>
        <v>0</v>
      </c>
      <c r="Z38" s="9">
        <f>'h2'!Z3</f>
        <v>1.3155378486055778</v>
      </c>
      <c r="AA38" s="9">
        <f>'h2'!AA3</f>
        <v>581.2</v>
      </c>
      <c r="AB38" s="9">
        <f>'h2'!AB3</f>
        <v>581.2</v>
      </c>
      <c r="AC38" s="9">
        <f>'h2'!AC3</f>
        <v>581.2</v>
      </c>
      <c r="AD38" s="9">
        <f>'h2'!AD3</f>
        <v>581.2</v>
      </c>
      <c r="AE38" s="46" t="s">
        <v>220</v>
      </c>
      <c r="AF38" s="9">
        <v>37.397089</v>
      </c>
      <c r="AG38" s="9">
        <v>-5.9912895</v>
      </c>
    </row>
    <row r="39">
      <c r="A39" s="10">
        <f>'h2'!A4</f>
        <v>38</v>
      </c>
      <c r="B39" t="str">
        <f>'h2'!B4</f>
        <v>Restauración</v>
      </c>
      <c r="C39" t="str">
        <f>'h2'!C4</f>
        <v>Bodega Palo Santo</v>
      </c>
      <c r="D39" t="str">
        <f>'h2'!D4</f>
        <v>Tripadvisor</v>
      </c>
      <c r="E39" s="9">
        <f>'h2'!E4</f>
        <v>2726</v>
      </c>
      <c r="F39" s="9">
        <f>'h2'!F4</f>
        <v>2085</v>
      </c>
      <c r="G39" s="9">
        <f>'h2'!G4</f>
        <v>4.6</v>
      </c>
      <c r="H39" s="9">
        <f>'h2'!H4</f>
        <v>4.8</v>
      </c>
      <c r="I39" s="9">
        <f>'h2'!I4</f>
        <v>4.6866763666597375</v>
      </c>
      <c r="J39" s="9">
        <f>'h2'!J4</f>
        <v>1</v>
      </c>
      <c r="K39" s="9">
        <f>'h2'!K4</f>
        <v>3</v>
      </c>
      <c r="L39" s="9">
        <f>'h2'!L4</f>
        <v>0</v>
      </c>
      <c r="M39" s="9">
        <f>'h2'!M4</f>
        <v>0</v>
      </c>
      <c r="N39" s="9">
        <f>'h2'!N4</f>
        <v>0</v>
      </c>
      <c r="O39" s="9">
        <f>'h2'!O4</f>
        <v>0</v>
      </c>
      <c r="P39" s="9">
        <f>'h2'!P4</f>
        <v>1060</v>
      </c>
      <c r="Q39" s="9">
        <f>'h2'!Q4</f>
        <v>0.20000000000000018</v>
      </c>
      <c r="R39" s="9">
        <f>'h2'!R4</f>
        <v>0.08667636665973788</v>
      </c>
      <c r="S39" s="9">
        <f>'h2'!S4</f>
        <v>0.1133236333402623</v>
      </c>
      <c r="T39" s="9">
        <f>'h2'!T4</f>
        <v>4.538679245283019</v>
      </c>
      <c r="U39" s="9">
        <f>'h2'!U4</f>
        <v>17.25744542367413</v>
      </c>
      <c r="V39" s="9">
        <f>'h2'!V4</f>
        <v>0</v>
      </c>
      <c r="W39" s="9">
        <f>'h2'!W4</f>
        <v>0</v>
      </c>
      <c r="X39" s="9">
        <f>'h2'!X4</f>
        <v>0</v>
      </c>
      <c r="Y39" s="9">
        <f>'h2'!Y4</f>
        <v>0</v>
      </c>
      <c r="Z39" s="9">
        <f>'h2'!Z4</f>
        <v>1.3074340527577937</v>
      </c>
      <c r="AA39" s="9">
        <f>'h2'!AA4</f>
        <v>481.1</v>
      </c>
      <c r="AB39" s="9">
        <f>'h2'!AB4</f>
        <v>481.1</v>
      </c>
      <c r="AC39" s="9">
        <f>'h2'!AC4</f>
        <v>481.1</v>
      </c>
      <c r="AD39" s="9">
        <f>'h2'!AD4</f>
        <v>481.1</v>
      </c>
      <c r="AE39" s="46" t="s">
        <v>220</v>
      </c>
      <c r="AF39" s="9">
        <v>37.3949935</v>
      </c>
      <c r="AG39" s="9">
        <v>-5.9973285</v>
      </c>
    </row>
    <row r="40">
      <c r="A40" s="10">
        <f>'h2'!A5</f>
        <v>39</v>
      </c>
      <c r="B40" t="str">
        <f>'h2'!B5</f>
        <v>Restauración</v>
      </c>
      <c r="C40" t="str">
        <f>'h2'!C5</f>
        <v>Abaceria del Postigo</v>
      </c>
      <c r="D40" t="str">
        <f>'h2'!D5</f>
        <v>Tripadvisor</v>
      </c>
      <c r="E40" s="9">
        <f>'h2'!E5</f>
        <v>1593</v>
      </c>
      <c r="F40" s="9">
        <f>'h2'!F5</f>
        <v>2211</v>
      </c>
      <c r="G40" s="9">
        <f>'h2'!G5</f>
        <v>4.7</v>
      </c>
      <c r="H40" s="9">
        <f>'h2'!H5</f>
        <v>4.9</v>
      </c>
      <c r="I40" s="9">
        <f>'h2'!I5</f>
        <v>4.816246056782334</v>
      </c>
      <c r="J40" s="9">
        <f>'h2'!J5</f>
        <v>1</v>
      </c>
      <c r="K40" s="9">
        <f>'h2'!K5</f>
        <v>4</v>
      </c>
      <c r="L40" s="9">
        <f>'h2'!L5</f>
        <v>0</v>
      </c>
      <c r="M40" s="9">
        <f>'h2'!M5</f>
        <v>0</v>
      </c>
      <c r="N40" s="9">
        <f>'h2'!N5</f>
        <v>0</v>
      </c>
      <c r="O40" s="9">
        <f>'h2'!O5</f>
        <v>0</v>
      </c>
      <c r="P40" s="9">
        <f>'h2'!P5</f>
        <v>220</v>
      </c>
      <c r="Q40" s="9">
        <f>'h2'!Q5</f>
        <v>0.20000000000000018</v>
      </c>
      <c r="R40" s="9">
        <f>'h2'!R5</f>
        <v>0.1162460567823338</v>
      </c>
      <c r="S40" s="9">
        <f>'h2'!S5</f>
        <v>0.08375394321766638</v>
      </c>
      <c r="T40" s="9">
        <f>'h2'!T5</f>
        <v>17.29090909090909</v>
      </c>
      <c r="U40" s="9">
        <f>'h2'!U5</f>
        <v>17.2433192302655</v>
      </c>
      <c r="V40" s="9">
        <f>'h2'!V5</f>
        <v>0</v>
      </c>
      <c r="W40" s="9">
        <f>'h2'!W5</f>
        <v>0</v>
      </c>
      <c r="X40" s="9">
        <f>'h2'!X5</f>
        <v>0</v>
      </c>
      <c r="Y40" s="9">
        <f>'h2'!Y5</f>
        <v>0</v>
      </c>
      <c r="Z40" s="9">
        <f>'h2'!Z5</f>
        <v>0.7204884667571235</v>
      </c>
      <c r="AA40" s="9">
        <f>'h2'!AA5</f>
        <v>380.4</v>
      </c>
      <c r="AB40" s="9">
        <f>'h2'!AB5</f>
        <v>380.4</v>
      </c>
      <c r="AC40" s="9">
        <f>'h2'!AC5</f>
        <v>380.4</v>
      </c>
      <c r="AD40" s="9">
        <f>'h2'!AD5</f>
        <v>380.4</v>
      </c>
      <c r="AE40" s="46" t="s">
        <v>220</v>
      </c>
      <c r="AF40" s="9">
        <v>37.3850441</v>
      </c>
      <c r="AG40" s="9">
        <v>-5.994661</v>
      </c>
    </row>
    <row r="41">
      <c r="A41" s="10">
        <f>'h2'!A6</f>
        <v>40</v>
      </c>
      <c r="B41" t="str">
        <f>'h2'!B6</f>
        <v>Restauración</v>
      </c>
      <c r="C41" t="str">
        <f>'h2'!C6</f>
        <v>Restaurante &amp; Tapas El Sella</v>
      </c>
      <c r="D41" t="str">
        <f>'h2'!D6</f>
        <v>Tripadvisor</v>
      </c>
      <c r="E41" s="9">
        <f>'h2'!E6</f>
        <v>4975</v>
      </c>
      <c r="F41" s="9">
        <f>'h2'!F6</f>
        <v>6541</v>
      </c>
      <c r="G41" s="9">
        <f>'h2'!G6</f>
        <v>4.7</v>
      </c>
      <c r="H41" s="9">
        <f>'h2'!H6</f>
        <v>4.9</v>
      </c>
      <c r="I41" s="9">
        <f>'h2'!I6</f>
        <v>4.813598471691559</v>
      </c>
      <c r="J41" s="9">
        <f>'h2'!J6</f>
        <v>1</v>
      </c>
      <c r="K41" s="9">
        <f>'h2'!K6</f>
        <v>5</v>
      </c>
      <c r="L41" s="9">
        <f>'h2'!L6</f>
        <v>0</v>
      </c>
      <c r="M41" s="9">
        <f>'h2'!M6</f>
        <v>0</v>
      </c>
      <c r="N41" s="9">
        <f>'h2'!N6</f>
        <v>0</v>
      </c>
      <c r="O41" s="9">
        <f>'h2'!O6</f>
        <v>0</v>
      </c>
      <c r="P41" s="9">
        <f>'h2'!P6</f>
        <v>908</v>
      </c>
      <c r="Q41" s="9">
        <f>'h2'!Q6</f>
        <v>0.20000000000000018</v>
      </c>
      <c r="R41" s="9">
        <f>'h2'!R6</f>
        <v>0.11359847169155923</v>
      </c>
      <c r="S41" s="9">
        <f>'h2'!S6</f>
        <v>0.08640152830844094</v>
      </c>
      <c r="T41" s="9">
        <f>'h2'!T6</f>
        <v>12.682819383259911</v>
      </c>
      <c r="U41" s="9">
        <f>'h2'!U6</f>
        <v>19.549475445391813</v>
      </c>
      <c r="V41" s="9">
        <f>'h2'!V6</f>
        <v>0</v>
      </c>
      <c r="W41" s="9">
        <f>'h2'!W6</f>
        <v>0</v>
      </c>
      <c r="X41" s="9">
        <f>'h2'!X6</f>
        <v>0</v>
      </c>
      <c r="Y41" s="9">
        <f>'h2'!Y6</f>
        <v>0</v>
      </c>
      <c r="Z41" s="9">
        <f>'h2'!Z6</f>
        <v>0.7605870661978291</v>
      </c>
      <c r="AA41" s="9">
        <f>'h2'!AA6</f>
        <v>1151.6</v>
      </c>
      <c r="AB41" s="9">
        <f>'h2'!AB6</f>
        <v>1151.6</v>
      </c>
      <c r="AC41" s="9">
        <f>'h2'!AC6</f>
        <v>1151.6</v>
      </c>
      <c r="AD41" s="9">
        <f>'h2'!AD6</f>
        <v>1151.6</v>
      </c>
      <c r="AE41" s="46" t="s">
        <v>220</v>
      </c>
      <c r="AF41" s="9">
        <v>37.3992567</v>
      </c>
      <c r="AG41" s="9">
        <v>-5.9920019</v>
      </c>
    </row>
    <row r="42" ht="30.75">
      <c r="A42" s="10">
        <f>'h2'!A7</f>
        <v>41</v>
      </c>
      <c r="B42" t="str">
        <f>'h2'!B7</f>
        <v>Restauración</v>
      </c>
      <c r="C42" t="str">
        <f>'h2'!C7</f>
        <v>Gascona</v>
      </c>
      <c r="D42" t="str">
        <f>'h2'!D7</f>
        <v>Tripadvisor</v>
      </c>
      <c r="E42" s="9">
        <f>'h2'!E7</f>
        <v>2753</v>
      </c>
      <c r="F42" s="9">
        <f>'h2'!F7</f>
        <v>4410</v>
      </c>
      <c r="G42" s="9">
        <f>'h2'!G7</f>
        <v>4.8</v>
      </c>
      <c r="H42" s="9">
        <f>'h2'!H7</f>
        <v>4.9</v>
      </c>
      <c r="I42" s="9">
        <f>'h2'!I7</f>
        <v>4.861566382800503</v>
      </c>
      <c r="J42" s="9">
        <f>'h2'!J7</f>
        <v>1</v>
      </c>
      <c r="K42" s="9">
        <f>'h2'!K7</f>
        <v>6</v>
      </c>
      <c r="L42" s="9">
        <f>'h2'!L7</f>
        <v>13</v>
      </c>
      <c r="M42" s="9">
        <f>'h2'!M7</f>
        <v>0</v>
      </c>
      <c r="N42" s="9">
        <f>'h2'!N7</f>
        <v>0</v>
      </c>
      <c r="O42" s="9">
        <f>'h2'!O7</f>
        <v>6.5</v>
      </c>
      <c r="P42" s="9">
        <f>'h2'!P7</f>
        <v>1080</v>
      </c>
      <c r="Q42" s="9">
        <f>'h2'!Q7</f>
        <v>0.10000000000000053</v>
      </c>
      <c r="R42" s="9">
        <f>'h2'!R7</f>
        <v>0.061566382800503305</v>
      </c>
      <c r="S42" s="9">
        <f>'h2'!S7</f>
        <v>0.03843361719949723</v>
      </c>
      <c r="T42" s="9">
        <f>'h2'!T7</f>
        <v>6.632407407407407</v>
      </c>
      <c r="U42" s="9">
        <f>'h2'!U7</f>
        <v>18.741800017056704</v>
      </c>
      <c r="V42" s="9">
        <f>'h2'!V7</f>
        <v>1.2037037037037037</v>
      </c>
      <c r="W42" s="9">
        <f>'h2'!W7</f>
        <v>0</v>
      </c>
      <c r="X42" s="9">
        <f>'h2'!X7</f>
        <v>0</v>
      </c>
      <c r="Y42" s="9">
        <f>'h2'!Y7</f>
        <v>0.6018518518518519</v>
      </c>
      <c r="Z42" s="9">
        <f>'h2'!Z7</f>
        <v>0.6242630385487529</v>
      </c>
      <c r="AA42" s="9">
        <f>'h2'!AA7</f>
        <v>5.46793893129771</v>
      </c>
      <c r="AB42" s="9">
        <f>'h2'!AB7</f>
        <v>716.3</v>
      </c>
      <c r="AC42" s="9">
        <f>'h2'!AC7</f>
        <v>716.3</v>
      </c>
      <c r="AD42" s="9">
        <f>'h2'!AD7</f>
        <v>10.853030303030302</v>
      </c>
      <c r="AE42" s="46" t="s">
        <v>221</v>
      </c>
      <c r="AF42" s="9">
        <v>37.3867464</v>
      </c>
      <c r="AG42" s="9">
        <v>-6.0048046</v>
      </c>
    </row>
    <row r="43">
      <c r="A43" s="10">
        <f>'h2'!A8</f>
        <v>42</v>
      </c>
      <c r="B43" t="str">
        <f>'h2'!B8</f>
        <v>Restauración</v>
      </c>
      <c r="C43" t="str">
        <f>'h2'!C8</f>
        <v>Sibuya Urban Sushi Bar Sevilla (Calle Albareda)</v>
      </c>
      <c r="D43" t="str">
        <f>'h2'!D8</f>
        <v>Tripadvisor</v>
      </c>
      <c r="E43" s="9">
        <f>'h2'!E8</f>
        <v>4594</v>
      </c>
      <c r="F43" s="9">
        <f>'h2'!F8</f>
        <v>7390</v>
      </c>
      <c r="G43" s="9">
        <f>'h2'!G8</f>
        <v>4.5</v>
      </c>
      <c r="H43" s="9">
        <f>'h2'!H8</f>
        <v>4.9</v>
      </c>
      <c r="I43" s="9">
        <f>'h2'!I8</f>
        <v>4.746662216288384</v>
      </c>
      <c r="J43" s="9">
        <f>'h2'!J8</f>
        <v>1</v>
      </c>
      <c r="K43" s="9">
        <f>'h2'!K8</f>
        <v>7</v>
      </c>
      <c r="L43" s="9">
        <f>'h2'!L8</f>
        <v>0</v>
      </c>
      <c r="M43" s="9">
        <f>'h2'!M8</f>
        <v>0</v>
      </c>
      <c r="N43" s="9">
        <f>'h2'!N8</f>
        <v>0</v>
      </c>
      <c r="O43" s="9">
        <f>'h2'!O8</f>
        <v>0</v>
      </c>
      <c r="P43" s="9">
        <f>'h2'!P8</f>
        <v>446</v>
      </c>
      <c r="Q43" s="9">
        <f>'h2'!Q8</f>
        <v>0.40000000000000036</v>
      </c>
      <c r="R43" s="9">
        <f>'h2'!R8</f>
        <v>0.24666221628838425</v>
      </c>
      <c r="S43" s="9">
        <f>'h2'!S8</f>
        <v>0.1533377837116161</v>
      </c>
      <c r="T43" s="9">
        <f>'h2'!T8</f>
        <v>26.869955156950674</v>
      </c>
      <c r="U43" s="9">
        <f>'h2'!U8</f>
        <v>19.35974506103272</v>
      </c>
      <c r="V43" s="9">
        <f>'h2'!V8</f>
        <v>0</v>
      </c>
      <c r="W43" s="9">
        <f>'h2'!W8</f>
        <v>0</v>
      </c>
      <c r="X43" s="9">
        <f>'h2'!X8</f>
        <v>0</v>
      </c>
      <c r="Y43" s="9">
        <f>'h2'!Y8</f>
        <v>0</v>
      </c>
      <c r="Z43" s="9">
        <f>'h2'!Z8</f>
        <v>0.6216508795669824</v>
      </c>
      <c r="AA43" s="9">
        <f>'h2'!AA8</f>
        <v>1198.4</v>
      </c>
      <c r="AB43" s="9">
        <f>'h2'!AB8</f>
        <v>1198.4</v>
      </c>
      <c r="AC43" s="9">
        <f>'h2'!AC8</f>
        <v>1198.4</v>
      </c>
      <c r="AD43" s="9">
        <f>'h2'!AD8</f>
        <v>1198.4</v>
      </c>
      <c r="AE43" s="46" t="s">
        <v>220</v>
      </c>
      <c r="AF43" s="9">
        <v>37.3895066</v>
      </c>
      <c r="AG43" s="9">
        <v>-5.9954365</v>
      </c>
    </row>
    <row r="44">
      <c r="A44" s="10">
        <f>'h2'!A9</f>
        <v>43</v>
      </c>
      <c r="B44" t="str">
        <f>'h2'!B9</f>
        <v>Restauración</v>
      </c>
      <c r="C44" t="str">
        <f>'h2'!C9</f>
        <v>Brunchit (Calle Santa Patronas)</v>
      </c>
      <c r="D44" t="str">
        <f>'h2'!D9</f>
        <v>Tripadvisor</v>
      </c>
      <c r="E44" s="9">
        <f>'h2'!E9</f>
        <v>3265</v>
      </c>
      <c r="F44" s="9">
        <f>'h2'!F9</f>
        <v>643</v>
      </c>
      <c r="G44" s="9">
        <f>'h2'!G9</f>
        <v>4.9</v>
      </c>
      <c r="H44" s="9">
        <f>'h2'!H9</f>
        <v>4.9</v>
      </c>
      <c r="I44" s="9">
        <f>'h2'!I9</f>
        <v>4.9</v>
      </c>
      <c r="J44" s="9">
        <f>'h2'!J9</f>
        <v>1</v>
      </c>
      <c r="K44" s="9">
        <f>'h2'!K9</f>
        <v>8</v>
      </c>
      <c r="L44" s="9">
        <f>'h2'!L9</f>
        <v>0</v>
      </c>
      <c r="M44" s="9">
        <f>'h2'!M9</f>
        <v>0</v>
      </c>
      <c r="N44" s="9">
        <f>'h2'!N9</f>
        <v>0</v>
      </c>
      <c r="O44" s="9">
        <f>'h2'!O9</f>
        <v>0</v>
      </c>
      <c r="P44" s="9">
        <f>'h2'!P9</f>
        <v>679</v>
      </c>
      <c r="Q44" s="9">
        <f>'h2'!Q9</f>
        <v>0</v>
      </c>
      <c r="R44" s="9">
        <f>'h2'!R9</f>
        <v>0</v>
      </c>
      <c r="S44" s="9">
        <f>'h2'!S9</f>
        <v>0</v>
      </c>
      <c r="T44" s="9">
        <f>'h2'!T9</f>
        <v>5.755522827687776</v>
      </c>
      <c r="U44" s="9">
        <f>'h2'!U9</f>
        <v>17.600577319729005</v>
      </c>
      <c r="V44" s="9">
        <f>'h2'!V9</f>
        <v>0</v>
      </c>
      <c r="W44" s="9">
        <f>'h2'!W9</f>
        <v>0</v>
      </c>
      <c r="X44" s="9">
        <f>'h2'!X9</f>
        <v>0</v>
      </c>
      <c r="Y44" s="9">
        <f>'h2'!Y9</f>
        <v>0</v>
      </c>
      <c r="Z44" s="9">
        <f>'h2'!Z9</f>
        <v>5.077760497667185</v>
      </c>
      <c r="AA44" s="9">
        <f>'h2'!AA9</f>
        <v>390.8</v>
      </c>
      <c r="AB44" s="9">
        <f>'h2'!AB9</f>
        <v>390.8</v>
      </c>
      <c r="AC44" s="9">
        <f>'h2'!AC9</f>
        <v>390.8</v>
      </c>
      <c r="AD44" s="9">
        <f>'h2'!AD9</f>
        <v>390.8</v>
      </c>
      <c r="AE44" s="46" t="s">
        <v>220</v>
      </c>
      <c r="AF44" s="9">
        <v>37.3890776</v>
      </c>
      <c r="AG44" s="9">
        <v>-5.9993609</v>
      </c>
    </row>
    <row r="45" ht="30.75">
      <c r="A45" s="10">
        <f>'h2'!A10</f>
        <v>44</v>
      </c>
      <c r="B45" t="str">
        <f>'h2'!B10</f>
        <v>Restauración</v>
      </c>
      <c r="C45" t="str">
        <f>'h2'!C10</f>
        <v>MareaViva</v>
      </c>
      <c r="D45" t="str">
        <f>'h2'!D10</f>
        <v>Tripadvisor</v>
      </c>
      <c r="E45" s="9">
        <f>'h2'!E10</f>
        <v>2291</v>
      </c>
      <c r="F45" s="9">
        <f>'h2'!F10</f>
        <v>3715</v>
      </c>
      <c r="G45" s="9">
        <f>'h2'!G10</f>
        <v>4.4</v>
      </c>
      <c r="H45" s="9">
        <f>'h2'!H10</f>
        <v>4.9</v>
      </c>
      <c r="I45" s="9">
        <f>'h2'!I10</f>
        <v>4.709274059274059</v>
      </c>
      <c r="J45" s="9">
        <f>'h2'!J10</f>
        <v>1</v>
      </c>
      <c r="K45" s="9">
        <f>'h2'!K10</f>
        <v>9</v>
      </c>
      <c r="L45" s="9">
        <f>'h2'!L10</f>
        <v>50</v>
      </c>
      <c r="M45" s="9">
        <f>'h2'!M10</f>
        <v>50</v>
      </c>
      <c r="N45" s="9">
        <f>'h2'!N10</f>
        <v>50</v>
      </c>
      <c r="O45" s="9">
        <f>'h2'!O10</f>
        <v>50</v>
      </c>
      <c r="P45" s="9">
        <f>'h2'!P10</f>
        <v>1840</v>
      </c>
      <c r="Q45" s="9">
        <f>'h2'!Q10</f>
        <v>0.5</v>
      </c>
      <c r="R45" s="9">
        <f>'h2'!R10</f>
        <v>0.3092740592740588</v>
      </c>
      <c r="S45" s="9">
        <f>'h2'!S10</f>
        <v>0.19072594072594118</v>
      </c>
      <c r="T45" s="9">
        <f>'h2'!T10</f>
        <v>3.264130434782609</v>
      </c>
      <c r="U45" s="9">
        <f>'h2'!U10</f>
        <v>17.794393865258613</v>
      </c>
      <c r="V45" s="9">
        <f>'h2'!V10</f>
        <v>2.717391304347826</v>
      </c>
      <c r="W45" s="9">
        <f>'h2'!W10</f>
        <v>2.717391304347826</v>
      </c>
      <c r="X45" s="9">
        <f>'h2'!X10</f>
        <v>2.717391304347826</v>
      </c>
      <c r="Y45" s="9">
        <f>'h2'!Y10</f>
        <v>2.717391304347826</v>
      </c>
      <c r="Z45" s="9">
        <f>'h2'!Z10</f>
        <v>0.6166890982503365</v>
      </c>
      <c r="AA45" s="9">
        <f>'h2'!AA10</f>
        <v>1.1988023952095808</v>
      </c>
      <c r="AB45" s="9">
        <f>'h2'!AB10</f>
        <v>1.1988023952095808</v>
      </c>
      <c r="AC45" s="9">
        <f>'h2'!AC10</f>
        <v>1.1988023952095808</v>
      </c>
      <c r="AD45" s="9">
        <f>'h2'!AD10</f>
        <v>1.1988023952095808</v>
      </c>
      <c r="AE45" s="46" t="s">
        <v>221</v>
      </c>
      <c r="AF45" s="9">
        <v>37.3854413</v>
      </c>
      <c r="AG45" s="9">
        <v>-5.9718006</v>
      </c>
    </row>
    <row r="46" ht="30.75">
      <c r="A46" s="10">
        <f>'h2'!A11</f>
        <v>45</v>
      </c>
      <c r="B46" t="str">
        <f>'h2'!B11</f>
        <v>Restauración</v>
      </c>
      <c r="C46" t="str">
        <f>'h2'!C11</f>
        <v>La Comilona</v>
      </c>
      <c r="D46" t="str">
        <f>'h2'!D11</f>
        <v>Tripadvisor</v>
      </c>
      <c r="E46" s="9">
        <f>'h2'!E11</f>
        <v>2599</v>
      </c>
      <c r="F46" s="9">
        <f>'h2'!F11</f>
        <v>2311</v>
      </c>
      <c r="G46" s="9">
        <f>'h2'!G11</f>
        <v>4.3</v>
      </c>
      <c r="H46" s="9">
        <f>'h2'!H11</f>
        <v>4.8</v>
      </c>
      <c r="I46" s="9">
        <f>'h2'!I11</f>
        <v>4.535336048879837</v>
      </c>
      <c r="J46" s="9">
        <f>'h2'!J11</f>
        <v>1</v>
      </c>
      <c r="K46" s="9">
        <f>'h2'!K11</f>
        <v>10</v>
      </c>
      <c r="L46" s="9">
        <f>'h2'!L11</f>
        <v>100</v>
      </c>
      <c r="M46" s="9">
        <f>'h2'!M11</f>
        <v>0</v>
      </c>
      <c r="N46" s="9">
        <f>'h2'!N11</f>
        <v>16</v>
      </c>
      <c r="O46" s="9">
        <f>'h2'!O11</f>
        <v>51.6</v>
      </c>
      <c r="P46" s="9">
        <f>'h2'!P11</f>
        <v>1870</v>
      </c>
      <c r="Q46" s="9">
        <f>'h2'!Q11</f>
        <v>0.5</v>
      </c>
      <c r="R46" s="9">
        <f>'h2'!R11</f>
        <v>0.23533604887983728</v>
      </c>
      <c r="S46" s="9">
        <f>'h2'!S11</f>
        <v>0.2646639511201627</v>
      </c>
      <c r="T46" s="9">
        <f>'h2'!T11</f>
        <v>2.625668449197861</v>
      </c>
      <c r="U46" s="9">
        <f>'h2'!U11</f>
        <v>16.740294950578477</v>
      </c>
      <c r="V46" s="9">
        <f>'h2'!V11</f>
        <v>5.347593582887701</v>
      </c>
      <c r="W46" s="9">
        <f>'h2'!W11</f>
        <v>0</v>
      </c>
      <c r="X46" s="9">
        <f>'h2'!X11</f>
        <v>0.8556149732620321</v>
      </c>
      <c r="Y46" s="9">
        <f>'h2'!Y11</f>
        <v>2.759358288770054</v>
      </c>
      <c r="Z46" s="9">
        <f>'h2'!Z11</f>
        <v>1.1246213760276937</v>
      </c>
      <c r="AA46" s="9">
        <f>'h2'!AA11</f>
        <v>0.4905094905094905</v>
      </c>
      <c r="AB46" s="9">
        <f>'h2'!AB11</f>
        <v>491</v>
      </c>
      <c r="AC46" s="9">
        <f>'h2'!AC11</f>
        <v>3.0496894409937885</v>
      </c>
      <c r="AD46" s="9">
        <f>'h2'!AD11</f>
        <v>0.9497098646034816</v>
      </c>
      <c r="AE46" s="46" t="s">
        <v>221</v>
      </c>
      <c r="AF46" s="9">
        <v>37.3853835</v>
      </c>
      <c r="AG46" s="9">
        <v>-5.97144</v>
      </c>
    </row>
    <row r="47">
      <c r="A47" s="10">
        <f>'h2'!A12</f>
        <v>46</v>
      </c>
      <c r="B47" t="str">
        <f>'h2'!B12</f>
        <v>Restauración</v>
      </c>
      <c r="C47" t="str">
        <f>'h2'!C12</f>
        <v>Beirutina, Breakfast and Lunch</v>
      </c>
      <c r="D47" t="str">
        <f>'h2'!D12</f>
        <v>Tripadvisor</v>
      </c>
      <c r="E47" s="9">
        <f>'h2'!E12</f>
        <v>967</v>
      </c>
      <c r="F47" s="9">
        <f>'h2'!F12</f>
        <v>99</v>
      </c>
      <c r="G47" s="9">
        <f>'h2'!G12</f>
        <v>4.9</v>
      </c>
      <c r="H47" s="9">
        <f>'h2'!H12</f>
        <v>4.9</v>
      </c>
      <c r="I47" s="9">
        <f>'h2'!I12</f>
        <v>4.9</v>
      </c>
      <c r="J47" s="9">
        <f>'h2'!J12</f>
        <v>1</v>
      </c>
      <c r="K47" s="9">
        <f>'h2'!K12</f>
        <v>12</v>
      </c>
      <c r="L47" s="9">
        <f>'h2'!L12</f>
        <v>0</v>
      </c>
      <c r="M47" s="9">
        <f>'h2'!M12</f>
        <v>0</v>
      </c>
      <c r="N47" s="9">
        <f>'h2'!N12</f>
        <v>0</v>
      </c>
      <c r="O47" s="9">
        <f>'h2'!O12</f>
        <v>0</v>
      </c>
      <c r="P47" s="9">
        <f>'h2'!P12</f>
        <v>773</v>
      </c>
      <c r="Q47" s="9">
        <f>'h2'!Q12</f>
        <v>0</v>
      </c>
      <c r="R47" s="9">
        <f>'h2'!R12</f>
        <v>0</v>
      </c>
      <c r="S47" s="9">
        <f>'h2'!S12</f>
        <v>0</v>
      </c>
      <c r="T47" s="9">
        <f>'h2'!T12</f>
        <v>1.3790426908150064</v>
      </c>
      <c r="U47" s="9">
        <f>'h2'!U12</f>
        <v>14.836010302983714</v>
      </c>
      <c r="V47" s="9">
        <f>'h2'!V12</f>
        <v>0</v>
      </c>
      <c r="W47" s="9">
        <f>'h2'!W12</f>
        <v>0</v>
      </c>
      <c r="X47" s="9">
        <f>'h2'!X12</f>
        <v>0</v>
      </c>
      <c r="Y47" s="9">
        <f>'h2'!Y12</f>
        <v>0</v>
      </c>
      <c r="Z47" s="9">
        <f>'h2'!Z12</f>
        <v>9.767676767676768</v>
      </c>
      <c r="AA47" s="9">
        <f>'h2'!AA12</f>
        <v>106.6</v>
      </c>
      <c r="AB47" s="9">
        <f>'h2'!AB12</f>
        <v>106.6</v>
      </c>
      <c r="AC47" s="9">
        <f>'h2'!AC12</f>
        <v>106.6</v>
      </c>
      <c r="AD47" s="9">
        <f>'h2'!AD12</f>
        <v>106.6</v>
      </c>
      <c r="AE47" s="46" t="s">
        <v>220</v>
      </c>
      <c r="AF47" s="9">
        <v>37.3916002</v>
      </c>
      <c r="AG47" s="9">
        <v>-5.9980685</v>
      </c>
    </row>
    <row r="48" ht="30.75">
      <c r="A48" s="10">
        <f>'h2'!A13</f>
        <v>47</v>
      </c>
      <c r="B48" t="str">
        <f>'h2'!B13</f>
        <v>Restauración</v>
      </c>
      <c r="C48" t="str">
        <f>'h2'!C13</f>
        <v>Taberna de La Dehesa</v>
      </c>
      <c r="D48" t="str">
        <f>'h2'!D13</f>
        <v>Tripadvisor</v>
      </c>
      <c r="E48" s="9">
        <f>'h2'!E13</f>
        <v>437</v>
      </c>
      <c r="F48" s="9">
        <f>'h2'!F13</f>
        <v>674</v>
      </c>
      <c r="G48" s="9">
        <f>'h2'!G13</f>
        <v>4</v>
      </c>
      <c r="H48" s="9">
        <f>'h2'!H13</f>
        <v>4.7</v>
      </c>
      <c r="I48" s="9">
        <f>'h2'!I13</f>
        <v>4.424662466246625</v>
      </c>
      <c r="J48" s="9">
        <f>'h2'!J13</f>
        <v>1</v>
      </c>
      <c r="K48" s="9">
        <f>'h2'!K13</f>
        <v>13</v>
      </c>
      <c r="L48" s="9">
        <f>'h2'!L13</f>
        <v>33</v>
      </c>
      <c r="M48" s="9">
        <f>'h2'!M13</f>
        <v>0</v>
      </c>
      <c r="N48" s="9">
        <f>'h2'!N13</f>
        <v>0</v>
      </c>
      <c r="O48" s="9">
        <f>'h2'!O13</f>
        <v>16.5</v>
      </c>
      <c r="P48" s="9">
        <f>'h2'!P13</f>
        <v>1750</v>
      </c>
      <c r="Q48" s="9">
        <f>'h2'!Q13</f>
        <v>0.7000000000000002</v>
      </c>
      <c r="R48" s="9">
        <f>'h2'!R13</f>
        <v>0.42466246624662496</v>
      </c>
      <c r="S48" s="9">
        <f>'h2'!S13</f>
        <v>0.2753375337533752</v>
      </c>
      <c r="T48" s="9">
        <f>'h2'!T13</f>
        <v>0.6348571428571429</v>
      </c>
      <c r="U48" s="9">
        <f>'h2'!U13</f>
        <v>13.476256679515318</v>
      </c>
      <c r="V48" s="9">
        <f>'h2'!V13</f>
        <v>1.8857142857142857</v>
      </c>
      <c r="W48" s="9">
        <f>'h2'!W13</f>
        <v>0</v>
      </c>
      <c r="X48" s="9">
        <f>'h2'!X13</f>
        <v>0</v>
      </c>
      <c r="Y48" s="9">
        <f>'h2'!Y13</f>
        <v>0.9428571428571428</v>
      </c>
      <c r="Z48" s="9">
        <f>'h2'!Z13</f>
        <v>0.6483679525222552</v>
      </c>
      <c r="AA48" s="9">
        <f>'h2'!AA13</f>
        <v>0.3356495468277946</v>
      </c>
      <c r="AB48" s="9">
        <f>'h2'!AB13</f>
        <v>111.1</v>
      </c>
      <c r="AC48" s="9">
        <f>'h2'!AC13</f>
        <v>111.1</v>
      </c>
      <c r="AD48" s="9">
        <f>'h2'!AD13</f>
        <v>0.6692771084337349</v>
      </c>
      <c r="AE48" s="46" t="s">
        <v>221</v>
      </c>
      <c r="AF48" s="9">
        <v>37.3864055</v>
      </c>
      <c r="AG48" s="9">
        <v>-5.972777</v>
      </c>
    </row>
    <row r="49" ht="30.75">
      <c r="A49" s="10">
        <f>'h2'!A14</f>
        <v>48</v>
      </c>
      <c r="B49" t="str">
        <f>'h2'!B14</f>
        <v>Restauración</v>
      </c>
      <c r="C49" t="str">
        <f>'h2'!C14</f>
        <v>Il Ristorantino Dell' Avvocato (Calle Regina)</v>
      </c>
      <c r="D49" t="str">
        <f>'h2'!D14</f>
        <v>Tripadvisor</v>
      </c>
      <c r="E49" s="9">
        <f>'h2'!E14</f>
        <v>5845</v>
      </c>
      <c r="F49" s="9">
        <f>'h2'!F14</f>
        <v>1658</v>
      </c>
      <c r="G49" s="9">
        <f>'h2'!G14</f>
        <v>4.8</v>
      </c>
      <c r="H49" s="9">
        <f>'h2'!H14</f>
        <v>4.8</v>
      </c>
      <c r="I49" s="9">
        <f>'h2'!I14</f>
        <v>4.8</v>
      </c>
      <c r="J49" s="9">
        <f>'h2'!J14</f>
        <v>1</v>
      </c>
      <c r="K49" s="9">
        <f>'h2'!K14</f>
        <v>14</v>
      </c>
      <c r="L49" s="9">
        <f>'h2'!L14</f>
        <v>50</v>
      </c>
      <c r="M49" s="9">
        <f>'h2'!M14</f>
        <v>0</v>
      </c>
      <c r="N49" s="9">
        <f>'h2'!N14</f>
        <v>0</v>
      </c>
      <c r="O49" s="9">
        <f>'h2'!O14</f>
        <v>25</v>
      </c>
      <c r="P49" s="9">
        <f>'h2'!P14</f>
        <v>910</v>
      </c>
      <c r="Q49" s="9">
        <f>'h2'!Q14</f>
        <v>0</v>
      </c>
      <c r="R49" s="9">
        <f>'h2'!R14</f>
        <v>0</v>
      </c>
      <c r="S49" s="9">
        <f>'h2'!S14</f>
        <v>0</v>
      </c>
      <c r="T49" s="9">
        <f>'h2'!T14</f>
        <v>8.245054945054944</v>
      </c>
      <c r="U49" s="9">
        <f>'h2'!U14</f>
        <v>18.60112774296079</v>
      </c>
      <c r="V49" s="9">
        <f>'h2'!V14</f>
        <v>5.4945054945054945</v>
      </c>
      <c r="W49" s="9">
        <f>'h2'!W14</f>
        <v>0</v>
      </c>
      <c r="X49" s="9">
        <f>'h2'!X14</f>
        <v>0</v>
      </c>
      <c r="Y49" s="9">
        <f>'h2'!Y14</f>
        <v>2.7472527472527473</v>
      </c>
      <c r="Z49" s="9">
        <f>'h2'!Z14</f>
        <v>3.5253317249698433</v>
      </c>
      <c r="AA49" s="9">
        <f>'h2'!AA14</f>
        <v>1.4976047904191616</v>
      </c>
      <c r="AB49" s="9">
        <f>'h2'!AB14</f>
        <v>750.3</v>
      </c>
      <c r="AC49" s="9">
        <f>'h2'!AC14</f>
        <v>750.3</v>
      </c>
      <c r="AD49" s="9">
        <f>'h2'!AD14</f>
        <v>2.9892430278884463</v>
      </c>
      <c r="AE49" s="46" t="s">
        <v>221</v>
      </c>
      <c r="AF49" s="9">
        <v>37.3943319</v>
      </c>
      <c r="AG49" s="9">
        <v>-5.9915766</v>
      </c>
    </row>
    <row r="50" ht="30.75">
      <c r="A50" s="10">
        <f>'h2'!A15</f>
        <v>49</v>
      </c>
      <c r="B50" t="str">
        <f>'h2'!B15</f>
        <v>Restauración</v>
      </c>
      <c r="C50" t="str">
        <f>'h2'!C15</f>
        <v>Infanta Sevilla</v>
      </c>
      <c r="D50" t="str">
        <f>'h2'!D15</f>
        <v>Tripadvisor</v>
      </c>
      <c r="E50" s="9">
        <f>'h2'!E15</f>
        <v>1871</v>
      </c>
      <c r="F50" s="9">
        <f>'h2'!F15</f>
        <v>291</v>
      </c>
      <c r="G50" s="9">
        <f>'h2'!G15</f>
        <v>4.7</v>
      </c>
      <c r="H50" s="9">
        <f>'h2'!H15</f>
        <v>4.9</v>
      </c>
      <c r="I50" s="9">
        <f>'h2'!I15</f>
        <v>4.726919518963922</v>
      </c>
      <c r="J50" s="9">
        <f>'h2'!J15</f>
        <v>1</v>
      </c>
      <c r="K50" s="9">
        <f>'h2'!K15</f>
        <v>16</v>
      </c>
      <c r="L50" s="9">
        <f>'h2'!L15</f>
        <v>8</v>
      </c>
      <c r="M50" s="9">
        <f>'h2'!M15</f>
        <v>33</v>
      </c>
      <c r="N50" s="9">
        <f>'h2'!N15</f>
        <v>33</v>
      </c>
      <c r="O50" s="9">
        <f>'h2'!O15</f>
        <v>20.500000000000004</v>
      </c>
      <c r="P50" s="9">
        <f>'h2'!P15</f>
        <v>4440</v>
      </c>
      <c r="Q50" s="9">
        <f>'h2'!Q15</f>
        <v>0.20000000000000018</v>
      </c>
      <c r="R50" s="9">
        <f>'h2'!R15</f>
        <v>0.026919518963921973</v>
      </c>
      <c r="S50" s="9">
        <f>'h2'!S15</f>
        <v>0.1730804810360782</v>
      </c>
      <c r="T50" s="9">
        <f>'h2'!T15</f>
        <v>0.48693693693693696</v>
      </c>
      <c r="U50" s="9">
        <f>'h2'!U15</f>
        <v>15.763594452179866</v>
      </c>
      <c r="V50" s="9">
        <f>'h2'!V15</f>
        <v>0.18018018018018017</v>
      </c>
      <c r="W50" s="9">
        <f>'h2'!W15</f>
        <v>0.7432432432432433</v>
      </c>
      <c r="X50" s="9">
        <f>'h2'!X15</f>
        <v>0.7432432432432433</v>
      </c>
      <c r="Y50" s="9">
        <f>'h2'!Y15</f>
        <v>0.46171171171171177</v>
      </c>
      <c r="Z50" s="9">
        <f>'h2'!Z15</f>
        <v>6.429553264604811</v>
      </c>
      <c r="AA50" s="9">
        <f>'h2'!AA15</f>
        <v>2.669135802469136</v>
      </c>
      <c r="AB50" s="9">
        <f>'h2'!AB15</f>
        <v>0.6531722054380664</v>
      </c>
      <c r="AC50" s="9">
        <f>'h2'!AC15</f>
        <v>0.6531722054380664</v>
      </c>
      <c r="AD50" s="9">
        <f>'h2'!AD15</f>
        <v>1.049514563106796</v>
      </c>
      <c r="AE50" s="46" t="s">
        <v>222</v>
      </c>
      <c r="AF50" s="9">
        <v>37.3469803</v>
      </c>
      <c r="AG50" s="9">
        <v>-5.9832761</v>
      </c>
    </row>
    <row r="51" ht="30.75">
      <c r="A51" s="10">
        <f>'h2'!A16</f>
        <v>50</v>
      </c>
      <c r="B51" t="str">
        <f>'h2'!B16</f>
        <v>Restauración</v>
      </c>
      <c r="C51" t="str">
        <f>'h2'!C16</f>
        <v>La Santa</v>
      </c>
      <c r="D51" t="str">
        <f>'h2'!D16</f>
        <v>Tripadvisor</v>
      </c>
      <c r="E51" s="9">
        <f>'h2'!E16</f>
        <v>2593</v>
      </c>
      <c r="F51" s="9">
        <f>'h2'!F16</f>
        <v>940</v>
      </c>
      <c r="G51" s="9">
        <f>'h2'!G16</f>
        <v>4.7</v>
      </c>
      <c r="H51" s="9">
        <f>'h2'!H16</f>
        <v>4.8</v>
      </c>
      <c r="I51" s="9">
        <f>'h2'!I16</f>
        <v>4.726606283611661</v>
      </c>
      <c r="J51" s="9">
        <f>'h2'!J16</f>
        <v>1</v>
      </c>
      <c r="K51" s="9">
        <f>'h2'!K16</f>
        <v>17</v>
      </c>
      <c r="L51" s="9">
        <f>'h2'!L16</f>
        <v>100</v>
      </c>
      <c r="M51" s="9">
        <f>'h2'!M16</f>
        <v>25</v>
      </c>
      <c r="N51" s="9">
        <f>'h2'!N16</f>
        <v>16</v>
      </c>
      <c r="O51" s="9">
        <f>'h2'!O16</f>
        <v>61.6</v>
      </c>
      <c r="P51" s="9">
        <f>'h2'!P16</f>
        <v>900</v>
      </c>
      <c r="Q51" s="9">
        <f>'h2'!Q16</f>
        <v>0.09999999999999964</v>
      </c>
      <c r="R51" s="9">
        <f>'h2'!R16</f>
        <v>0.02660628361166051</v>
      </c>
      <c r="S51" s="9">
        <f>'h2'!S16</f>
        <v>0.07339371638833914</v>
      </c>
      <c r="T51" s="9">
        <f>'h2'!T16</f>
        <v>3.9255555555555555</v>
      </c>
      <c r="U51" s="9">
        <f>'h2'!U16</f>
        <v>16.770678011856273</v>
      </c>
      <c r="V51" s="9">
        <f>'h2'!V16</f>
        <v>11.11111111111111</v>
      </c>
      <c r="W51" s="9">
        <f>'h2'!W16</f>
        <v>2.7777777777777777</v>
      </c>
      <c r="X51" s="9">
        <f>'h2'!X16</f>
        <v>1.7777777777777777</v>
      </c>
      <c r="Y51" s="9">
        <f>'h2'!Y16</f>
        <v>6.844444444444445</v>
      </c>
      <c r="Z51" s="9">
        <f>'h2'!Z16</f>
        <v>2.758510638297872</v>
      </c>
      <c r="AA51" s="9">
        <f>'h2'!AA16</f>
        <v>0.352947052947053</v>
      </c>
      <c r="AB51" s="9">
        <f>'h2'!AB16</f>
        <v>1.4075697211155378</v>
      </c>
      <c r="AC51" s="9">
        <f>'h2'!AC16</f>
        <v>2.1944099378881985</v>
      </c>
      <c r="AD51" s="9">
        <f>'h2'!AD16</f>
        <v>0.5726094003241491</v>
      </c>
      <c r="AE51" s="46" t="s">
        <v>221</v>
      </c>
      <c r="AF51" s="9">
        <v>37.4013911</v>
      </c>
      <c r="AG51" s="9">
        <v>-5.9373583</v>
      </c>
    </row>
    <row r="52">
      <c r="A52" s="10">
        <f>'h2'!A17</f>
        <v>51</v>
      </c>
      <c r="B52" t="str">
        <f>'h2'!B17</f>
        <v>Restauración</v>
      </c>
      <c r="C52" t="str">
        <f>'h2'!C17</f>
        <v>Mokambo (Alfalfa)</v>
      </c>
      <c r="D52" t="str">
        <f>'h2'!D17</f>
        <v>Tripadvisor</v>
      </c>
      <c r="E52" s="9">
        <f>'h2'!E17</f>
        <v>3445</v>
      </c>
      <c r="F52" s="9">
        <f>'h2'!F17</f>
        <v>722</v>
      </c>
      <c r="G52" s="9">
        <f>'h2'!G17</f>
        <v>4.8</v>
      </c>
      <c r="H52" s="9">
        <f>'h2'!H17</f>
        <v>4.9</v>
      </c>
      <c r="I52" s="9">
        <f>'h2'!I17</f>
        <v>4.817326613870891</v>
      </c>
      <c r="J52" s="9">
        <f>'h2'!J17</f>
        <v>1</v>
      </c>
      <c r="K52" s="9">
        <f>'h2'!K17</f>
        <v>18</v>
      </c>
      <c r="L52" s="9">
        <f>'h2'!L17</f>
        <v>0</v>
      </c>
      <c r="M52" s="9">
        <f>'h2'!M17</f>
        <v>0</v>
      </c>
      <c r="N52" s="9">
        <f>'h2'!N17</f>
        <v>0</v>
      </c>
      <c r="O52" s="9">
        <f>'h2'!O17</f>
        <v>0</v>
      </c>
      <c r="P52" s="9">
        <f>'h2'!P17</f>
        <v>526</v>
      </c>
      <c r="Q52" s="9">
        <f>'h2'!Q17</f>
        <v>0.10000000000000053</v>
      </c>
      <c r="R52" s="9">
        <f>'h2'!R17</f>
        <v>0.01732661387089074</v>
      </c>
      <c r="S52" s="9">
        <f>'h2'!S17</f>
        <v>0.0826733861291098</v>
      </c>
      <c r="T52" s="9">
        <f>'h2'!T17</f>
        <v>7.922053231939164</v>
      </c>
      <c r="U52" s="9">
        <f>'h2'!U17</f>
        <v>17.437872086268133</v>
      </c>
      <c r="V52" s="9">
        <f>'h2'!V17</f>
        <v>0</v>
      </c>
      <c r="W52" s="9">
        <f>'h2'!W17</f>
        <v>0</v>
      </c>
      <c r="X52" s="9">
        <f>'h2'!X17</f>
        <v>0</v>
      </c>
      <c r="Y52" s="9">
        <f>'h2'!Y17</f>
        <v>0</v>
      </c>
      <c r="Z52" s="9">
        <f>'h2'!Z17</f>
        <v>4.771468144044321</v>
      </c>
      <c r="AA52" s="9">
        <f>'h2'!AA17</f>
        <v>416.7</v>
      </c>
      <c r="AB52" s="9">
        <f>'h2'!AB17</f>
        <v>416.7</v>
      </c>
      <c r="AC52" s="9">
        <f>'h2'!AC17</f>
        <v>416.7</v>
      </c>
      <c r="AD52" s="9">
        <f>'h2'!AD17</f>
        <v>416.7</v>
      </c>
      <c r="AE52" s="46" t="s">
        <v>220</v>
      </c>
      <c r="AF52" s="9">
        <v>37.3907659</v>
      </c>
      <c r="AG52" s="9">
        <v>-5.991139</v>
      </c>
    </row>
    <row r="53" ht="30.75">
      <c r="A53" s="10">
        <f>'h2'!A18</f>
        <v>52</v>
      </c>
      <c r="B53" t="str">
        <f>'h2'!B18</f>
        <v>Restauración</v>
      </c>
      <c r="C53" t="str">
        <f>'h2'!C18</f>
        <v>L' Orangier Cocina Casera</v>
      </c>
      <c r="D53" t="str">
        <f>'h2'!D18</f>
        <v>Tripadvisor</v>
      </c>
      <c r="E53" s="9">
        <f>'h2'!E18</f>
        <v>2227</v>
      </c>
      <c r="F53" s="9">
        <f>'h2'!F18</f>
        <v>1602</v>
      </c>
      <c r="G53" s="9">
        <f>'h2'!G18</f>
        <v>4.4</v>
      </c>
      <c r="H53" s="9">
        <f>'h2'!H18</f>
        <v>4.7</v>
      </c>
      <c r="I53" s="9">
        <f>'h2'!I18</f>
        <v>4.525515800470097</v>
      </c>
      <c r="J53" s="9">
        <f>'h2'!J18</f>
        <v>1</v>
      </c>
      <c r="K53" s="9">
        <f>'h2'!K18</f>
        <v>19</v>
      </c>
      <c r="L53" s="9">
        <f>'h2'!L18</f>
        <v>108</v>
      </c>
      <c r="M53" s="9">
        <f>'h2'!M18</f>
        <v>25</v>
      </c>
      <c r="N53" s="9">
        <f>'h2'!N18</f>
        <v>16</v>
      </c>
      <c r="O53" s="9">
        <f>'h2'!O18</f>
        <v>65.6</v>
      </c>
      <c r="P53" s="9">
        <f>'h2'!P18</f>
        <v>2580</v>
      </c>
      <c r="Q53" s="9">
        <f>'h2'!Q18</f>
        <v>0.2999999999999998</v>
      </c>
      <c r="R53" s="9">
        <f>'h2'!R18</f>
        <v>0.12551580047009647</v>
      </c>
      <c r="S53" s="9">
        <f>'h2'!S18</f>
        <v>0.17448419952990335</v>
      </c>
      <c r="T53" s="9">
        <f>'h2'!T18</f>
        <v>1.4841085271317829</v>
      </c>
      <c r="U53" s="9">
        <f>'h2'!U18</f>
        <v>16.215309439839647</v>
      </c>
      <c r="V53" s="9">
        <f>'h2'!V18</f>
        <v>4.186046511627907</v>
      </c>
      <c r="W53" s="9">
        <f>'h2'!W18</f>
        <v>0.9689922480620154</v>
      </c>
      <c r="X53" s="9">
        <f>'h2'!X18</f>
        <v>0.6201550387596899</v>
      </c>
      <c r="Y53" s="9">
        <f>'h2'!Y18</f>
        <v>2.5426356589147283</v>
      </c>
      <c r="Z53" s="9">
        <f>'h2'!Z18</f>
        <v>1.3901373283395755</v>
      </c>
      <c r="AA53" s="9">
        <f>'h2'!AA18</f>
        <v>0.35420906567992605</v>
      </c>
      <c r="AB53" s="9">
        <f>'h2'!AB18</f>
        <v>1.5254980079681275</v>
      </c>
      <c r="AC53" s="9">
        <f>'h2'!AC18</f>
        <v>2.378260869565217</v>
      </c>
      <c r="AD53" s="9">
        <f>'h2'!AD18</f>
        <v>0.5828006088280062</v>
      </c>
      <c r="AE53" s="46" t="s">
        <v>221</v>
      </c>
      <c r="AF53" s="9">
        <v>37.364948</v>
      </c>
      <c r="AG53" s="9">
        <v>-5.9808241</v>
      </c>
    </row>
    <row r="54">
      <c r="A54" s="10">
        <f>'h2'!A19</f>
        <v>53</v>
      </c>
      <c r="B54" t="str">
        <f>'h2'!B19</f>
        <v>Restauración</v>
      </c>
      <c r="C54" t="str">
        <f>'h2'!C19</f>
        <v>Vuela Tapas &amp; Cocktails</v>
      </c>
      <c r="D54" t="str">
        <f>'h2'!D19</f>
        <v>Tripadvisor</v>
      </c>
      <c r="E54" s="9">
        <f>'h2'!E19</f>
        <v>1849</v>
      </c>
      <c r="F54" s="9">
        <f>'h2'!F19</f>
        <v>382</v>
      </c>
      <c r="G54" s="9">
        <f>'h2'!G19</f>
        <v>4.8</v>
      </c>
      <c r="H54" s="9">
        <f>'h2'!H19</f>
        <v>4.9</v>
      </c>
      <c r="I54" s="9">
        <f>'h2'!I19</f>
        <v>4.817122366651725</v>
      </c>
      <c r="J54" s="9">
        <f>'h2'!J19</f>
        <v>1</v>
      </c>
      <c r="K54" s="9">
        <f>'h2'!K19</f>
        <v>20</v>
      </c>
      <c r="L54" s="9">
        <f>'h2'!L19</f>
        <v>0</v>
      </c>
      <c r="M54" s="9">
        <f>'h2'!M19</f>
        <v>0</v>
      </c>
      <c r="N54" s="9">
        <f>'h2'!N19</f>
        <v>0</v>
      </c>
      <c r="O54" s="9">
        <f>'h2'!O19</f>
        <v>0</v>
      </c>
      <c r="P54" s="9">
        <f>'h2'!P19</f>
        <v>244</v>
      </c>
      <c r="Q54" s="9">
        <f>'h2'!Q19</f>
        <v>0.10000000000000053</v>
      </c>
      <c r="R54" s="9">
        <f>'h2'!R19</f>
        <v>0.017122366651725507</v>
      </c>
      <c r="S54" s="9">
        <f>'h2'!S19</f>
        <v>0.08287763334827503</v>
      </c>
      <c r="T54" s="9">
        <f>'h2'!T19</f>
        <v>9.14344262295082</v>
      </c>
      <c r="U54" s="9">
        <f>'h2'!U19</f>
        <v>16.130132174737966</v>
      </c>
      <c r="V54" s="9">
        <f>'h2'!V19</f>
        <v>0</v>
      </c>
      <c r="W54" s="9">
        <f>'h2'!W19</f>
        <v>0</v>
      </c>
      <c r="X54" s="9">
        <f>'h2'!X19</f>
        <v>0</v>
      </c>
      <c r="Y54" s="9">
        <f>'h2'!Y19</f>
        <v>0</v>
      </c>
      <c r="Z54" s="9">
        <f>'h2'!Z19</f>
        <v>4.840314136125654</v>
      </c>
      <c r="AA54" s="9">
        <f>'h2'!AA19</f>
        <v>223.1</v>
      </c>
      <c r="AB54" s="9">
        <f>'h2'!AB19</f>
        <v>223.1</v>
      </c>
      <c r="AC54" s="9">
        <f>'h2'!AC19</f>
        <v>223.1</v>
      </c>
      <c r="AD54" s="9">
        <f>'h2'!AD19</f>
        <v>223.1</v>
      </c>
      <c r="AE54" s="46" t="s">
        <v>220</v>
      </c>
      <c r="AF54" s="9">
        <v>37.3845248</v>
      </c>
      <c r="AG54" s="9">
        <v>-5.994428</v>
      </c>
    </row>
    <row r="55">
      <c r="A55" s="10">
        <f>'h2'!A20</f>
        <v>54</v>
      </c>
      <c r="B55" t="str">
        <f>'h2'!B20</f>
        <v>Restauración</v>
      </c>
      <c r="C55" t="str">
        <f>'h2'!C20</f>
        <v>Bollywood Indian Restaurant</v>
      </c>
      <c r="D55" t="str">
        <f>'h2'!D20</f>
        <v>Tripadvisor</v>
      </c>
      <c r="E55" s="9">
        <f>'h2'!E20</f>
        <v>4816</v>
      </c>
      <c r="F55" s="9">
        <f>'h2'!F20</f>
        <v>874</v>
      </c>
      <c r="G55" s="9">
        <f>'h2'!G20</f>
        <v>4.8</v>
      </c>
      <c r="H55" s="9">
        <f>'h2'!H20</f>
        <v>4.8</v>
      </c>
      <c r="I55" s="9">
        <f>'h2'!I20</f>
        <v>4.8</v>
      </c>
      <c r="J55" s="9">
        <f>'h2'!J20</f>
        <v>1</v>
      </c>
      <c r="K55" s="9">
        <f>'h2'!K20</f>
        <v>21</v>
      </c>
      <c r="L55" s="9">
        <f>'h2'!L20</f>
        <v>0</v>
      </c>
      <c r="M55" s="9">
        <f>'h2'!M20</f>
        <v>0</v>
      </c>
      <c r="N55" s="9">
        <f>'h2'!N20</f>
        <v>0</v>
      </c>
      <c r="O55" s="9">
        <f>'h2'!O20</f>
        <v>0</v>
      </c>
      <c r="P55" s="9">
        <f>'h2'!P20</f>
        <v>1940</v>
      </c>
      <c r="Q55" s="9">
        <f>'h2'!Q20</f>
        <v>0</v>
      </c>
      <c r="R55" s="9">
        <f>'h2'!R20</f>
        <v>0</v>
      </c>
      <c r="S55" s="9">
        <f>'h2'!S20</f>
        <v>0</v>
      </c>
      <c r="T55" s="9">
        <f>'h2'!T20</f>
        <v>2.9329896907216493</v>
      </c>
      <c r="U55" s="9">
        <f>'h2'!U20</f>
        <v>18.02453887869634</v>
      </c>
      <c r="V55" s="9">
        <f>'h2'!V20</f>
        <v>0</v>
      </c>
      <c r="W55" s="9">
        <f>'h2'!W20</f>
        <v>0</v>
      </c>
      <c r="X55" s="9">
        <f>'h2'!X20</f>
        <v>0</v>
      </c>
      <c r="Y55" s="9">
        <f>'h2'!Y20</f>
        <v>0</v>
      </c>
      <c r="Z55" s="9">
        <f>'h2'!Z20</f>
        <v>5.510297482837529</v>
      </c>
      <c r="AA55" s="9">
        <f>'h2'!AA20</f>
        <v>569</v>
      </c>
      <c r="AB55" s="9">
        <f>'h2'!AB20</f>
        <v>569</v>
      </c>
      <c r="AC55" s="9">
        <f>'h2'!AC20</f>
        <v>569</v>
      </c>
      <c r="AD55" s="9">
        <f>'h2'!AD20</f>
        <v>569</v>
      </c>
      <c r="AE55" s="46" t="s">
        <v>220</v>
      </c>
      <c r="AF55" s="9">
        <v>37.3717023</v>
      </c>
      <c r="AG55" s="9">
        <v>-5.9804614</v>
      </c>
    </row>
    <row r="56">
      <c r="A56" s="10">
        <f>'h2'!A21</f>
        <v>55</v>
      </c>
      <c r="B56" t="str">
        <f>'h2'!B21</f>
        <v>Restauración</v>
      </c>
      <c r="C56" t="str">
        <f>'h2'!C21</f>
        <v>Street Food Burger Bermejales</v>
      </c>
      <c r="D56" t="str">
        <f>'h2'!D21</f>
        <v>Tripadvisor</v>
      </c>
      <c r="E56" s="9">
        <f>'h2'!E21</f>
        <v>4721</v>
      </c>
      <c r="F56" s="9">
        <f>'h2'!F21</f>
        <v>418</v>
      </c>
      <c r="G56" s="9">
        <f>'h2'!G21</f>
        <v>4.7</v>
      </c>
      <c r="H56" s="9">
        <f>'h2'!H21</f>
        <v>4.8</v>
      </c>
      <c r="I56" s="9">
        <f>'h2'!I21</f>
        <v>4.708133878186418</v>
      </c>
      <c r="J56" s="9">
        <f>'h2'!J21</f>
        <v>1</v>
      </c>
      <c r="K56" s="9">
        <f>'h2'!K21</f>
        <v>22</v>
      </c>
      <c r="L56" s="9">
        <f>'h2'!L21</f>
        <v>0</v>
      </c>
      <c r="M56" s="9">
        <f>'h2'!M21</f>
        <v>0</v>
      </c>
      <c r="N56" s="9">
        <f>'h2'!N21</f>
        <v>0</v>
      </c>
      <c r="O56" s="9">
        <f>'h2'!O21</f>
        <v>0</v>
      </c>
      <c r="P56" s="9">
        <f>'h2'!P21</f>
        <v>4680</v>
      </c>
      <c r="Q56" s="9">
        <f>'h2'!Q21</f>
        <v>0.09999999999999964</v>
      </c>
      <c r="R56" s="9">
        <f>'h2'!R21</f>
        <v>0.008133878186417753</v>
      </c>
      <c r="S56" s="9">
        <f>'h2'!S21</f>
        <v>0.09186612181358189</v>
      </c>
      <c r="T56" s="9">
        <f>'h2'!T21</f>
        <v>1.0980769230769232</v>
      </c>
      <c r="U56" s="9">
        <f>'h2'!U21</f>
        <v>17.471313337761146</v>
      </c>
      <c r="V56" s="9">
        <f>'h2'!V21</f>
        <v>0</v>
      </c>
      <c r="W56" s="9">
        <f>'h2'!W21</f>
        <v>0</v>
      </c>
      <c r="X56" s="9">
        <f>'h2'!X21</f>
        <v>0</v>
      </c>
      <c r="Y56" s="9">
        <f>'h2'!Y21</f>
        <v>0</v>
      </c>
      <c r="Z56" s="9">
        <f>'h2'!Z21</f>
        <v>11.294258373205741</v>
      </c>
      <c r="AA56" s="9">
        <f>'h2'!AA21</f>
        <v>513.9</v>
      </c>
      <c r="AB56" s="9">
        <f>'h2'!AB21</f>
        <v>513.9</v>
      </c>
      <c r="AC56" s="9">
        <f>'h2'!AC21</f>
        <v>513.9</v>
      </c>
      <c r="AD56" s="9">
        <f>'h2'!AD21</f>
        <v>513.9</v>
      </c>
      <c r="AE56" s="46" t="s">
        <v>220</v>
      </c>
      <c r="AF56" s="9">
        <v>37.3459598</v>
      </c>
      <c r="AG56" s="9">
        <v>-5.9771007</v>
      </c>
    </row>
    <row r="57">
      <c r="A57" s="10">
        <f>'h2'!A22</f>
        <v>56</v>
      </c>
      <c r="B57" t="str">
        <f>'h2'!B22</f>
        <v>Restauración</v>
      </c>
      <c r="C57" t="str">
        <f>'h2'!C22</f>
        <v>Donaire Azabache (Archivos)</v>
      </c>
      <c r="D57" t="str">
        <f>'h2'!D22</f>
        <v>Tripadvisor</v>
      </c>
      <c r="E57" s="9">
        <f>'h2'!E22</f>
        <v>1750</v>
      </c>
      <c r="F57" s="9">
        <f>'h2'!F22</f>
        <v>2399</v>
      </c>
      <c r="G57" s="9">
        <f>'h2'!G22</f>
        <v>4.3</v>
      </c>
      <c r="H57" s="9">
        <f>'h2'!H22</f>
        <v>4.7</v>
      </c>
      <c r="I57" s="9">
        <f>'h2'!I22</f>
        <v>4.5312846469028685</v>
      </c>
      <c r="J57" s="9">
        <f>'h2'!J22</f>
        <v>1</v>
      </c>
      <c r="K57" s="9">
        <f>'h2'!K22</f>
        <v>23</v>
      </c>
      <c r="L57" s="9">
        <f>'h2'!L22</f>
        <v>0</v>
      </c>
      <c r="M57" s="9">
        <f>'h2'!M22</f>
        <v>0</v>
      </c>
      <c r="N57" s="9">
        <f>'h2'!N22</f>
        <v>0</v>
      </c>
      <c r="O57" s="9">
        <f>'h2'!O22</f>
        <v>0</v>
      </c>
      <c r="P57" s="9">
        <f>'h2'!P22</f>
        <v>227</v>
      </c>
      <c r="Q57" s="9">
        <f>'h2'!Q22</f>
        <v>0.40000000000000036</v>
      </c>
      <c r="R57" s="9">
        <f>'h2'!R22</f>
        <v>0.23128464690286865</v>
      </c>
      <c r="S57" s="9">
        <f>'h2'!S22</f>
        <v>0.1687153530971317</v>
      </c>
      <c r="T57" s="9">
        <f>'h2'!T22</f>
        <v>18.277533039647576</v>
      </c>
      <c r="U57" s="9">
        <f>'h2'!U22</f>
        <v>16.393931539603553</v>
      </c>
      <c r="V57" s="9">
        <f>'h2'!V22</f>
        <v>0</v>
      </c>
      <c r="W57" s="9">
        <f>'h2'!W22</f>
        <v>0</v>
      </c>
      <c r="X57" s="9">
        <f>'h2'!X22</f>
        <v>0</v>
      </c>
      <c r="Y57" s="9">
        <f>'h2'!Y22</f>
        <v>0</v>
      </c>
      <c r="Z57" s="9">
        <f>'h2'!Z22</f>
        <v>0.7294706127553147</v>
      </c>
      <c r="AA57" s="9">
        <f>'h2'!AA22</f>
        <v>414.9</v>
      </c>
      <c r="AB57" s="9">
        <f>'h2'!AB22</f>
        <v>414.9</v>
      </c>
      <c r="AC57" s="9">
        <f>'h2'!AC22</f>
        <v>414.9</v>
      </c>
      <c r="AD57" s="9">
        <f>'h2'!AD22</f>
        <v>414.9</v>
      </c>
      <c r="AE57" s="46" t="s">
        <v>220</v>
      </c>
      <c r="AF57" s="9">
        <v>37.3897563</v>
      </c>
      <c r="AG57" s="9">
        <v>-5.9948357</v>
      </c>
    </row>
    <row r="58">
      <c r="A58" s="10">
        <f>'h2'!A23</f>
        <v>57</v>
      </c>
      <c r="B58" t="str">
        <f>'h2'!B23</f>
        <v>Restauración</v>
      </c>
      <c r="C58" t="str">
        <f>'h2'!C23</f>
        <v>La Madriguera De Mai</v>
      </c>
      <c r="D58" t="str">
        <f>'h2'!D23</f>
        <v>Tripadvisor</v>
      </c>
      <c r="E58" s="9">
        <f>'h2'!E23</f>
        <v>1151</v>
      </c>
      <c r="F58" s="9">
        <f>'h2'!F23</f>
        <v>211</v>
      </c>
      <c r="G58" s="9">
        <f>'h2'!G23</f>
        <v>4.8</v>
      </c>
      <c r="H58" s="9">
        <f>'h2'!H23</f>
        <v>4.8</v>
      </c>
      <c r="I58" s="9">
        <f>'h2'!I23</f>
        <v>4.800000000000001</v>
      </c>
      <c r="J58" s="9">
        <f>'h2'!J23</f>
        <v>1</v>
      </c>
      <c r="K58" s="9">
        <f>'h2'!K23</f>
        <v>25</v>
      </c>
      <c r="L58" s="9">
        <f>'h2'!L23</f>
        <v>0</v>
      </c>
      <c r="M58" s="9">
        <f>'h2'!M23</f>
        <v>0</v>
      </c>
      <c r="N58" s="9">
        <f>'h2'!N23</f>
        <v>0</v>
      </c>
      <c r="O58" s="9">
        <f>'h2'!O23</f>
        <v>0</v>
      </c>
      <c r="P58" s="9">
        <f>'h2'!P23</f>
        <v>1500</v>
      </c>
      <c r="Q58" s="9">
        <f>'h2'!Q23</f>
        <v>0</v>
      </c>
      <c r="R58" s="9">
        <f>'h2'!R23</f>
        <v>8.881784197001252E-16</v>
      </c>
      <c r="S58" s="9">
        <f>'h2'!S23</f>
        <v>8.881784197001252E-16</v>
      </c>
      <c r="T58" s="9">
        <f>'h2'!T23</f>
        <v>0.908</v>
      </c>
      <c r="U58" s="9">
        <f>'h2'!U23</f>
        <v>15.044050116368481</v>
      </c>
      <c r="V58" s="9">
        <f>'h2'!V23</f>
        <v>0</v>
      </c>
      <c r="W58" s="9">
        <f>'h2'!W23</f>
        <v>0</v>
      </c>
      <c r="X58" s="9">
        <f>'h2'!X23</f>
        <v>0</v>
      </c>
      <c r="Y58" s="9">
        <f>'h2'!Y23</f>
        <v>0</v>
      </c>
      <c r="Z58" s="9">
        <f>'h2'!Z23</f>
        <v>5.454976303317536</v>
      </c>
      <c r="AA58" s="9">
        <f>'h2'!AA23</f>
        <v>136.2</v>
      </c>
      <c r="AB58" s="9">
        <f>'h2'!AB23</f>
        <v>136.2</v>
      </c>
      <c r="AC58" s="9">
        <f>'h2'!AC23</f>
        <v>136.2</v>
      </c>
      <c r="AD58" s="9">
        <f>'h2'!AD23</f>
        <v>136.2</v>
      </c>
      <c r="AE58" s="46" t="s">
        <v>220</v>
      </c>
      <c r="AF58" s="9">
        <v>37.3994293</v>
      </c>
      <c r="AG58" s="9">
        <v>-5.9892664</v>
      </c>
    </row>
    <row r="59" ht="30.75">
      <c r="A59" s="10">
        <f>'h2'!A24</f>
        <v>58</v>
      </c>
      <c r="B59" t="str">
        <f>'h2'!B24</f>
        <v>Restauración</v>
      </c>
      <c r="C59" t="str">
        <f>'h2'!C24</f>
        <v>La Sede</v>
      </c>
      <c r="D59" t="str">
        <f>'h2'!D24</f>
        <v>Tripadvisor</v>
      </c>
      <c r="E59" s="9">
        <f>'h2'!E24</f>
        <v>807</v>
      </c>
      <c r="F59" s="9">
        <f>'h2'!F24</f>
        <v>891</v>
      </c>
      <c r="G59" s="9">
        <f>'h2'!G24</f>
        <v>4.7</v>
      </c>
      <c r="H59" s="9">
        <f>'h2'!H24</f>
        <v>4.9</v>
      </c>
      <c r="I59" s="9">
        <f>'h2'!I24</f>
        <v>4.804946996466431</v>
      </c>
      <c r="J59" s="9">
        <f>'h2'!J24</f>
        <v>1</v>
      </c>
      <c r="K59" s="9">
        <f>'h2'!K24</f>
        <v>26</v>
      </c>
      <c r="L59" s="9">
        <f>'h2'!L24</f>
        <v>0</v>
      </c>
      <c r="M59" s="9">
        <f>'h2'!M24</f>
        <v>16</v>
      </c>
      <c r="N59" s="9">
        <f>'h2'!N24</f>
        <v>0</v>
      </c>
      <c r="O59" s="9">
        <f>'h2'!O24</f>
        <v>6.4</v>
      </c>
      <c r="P59" s="9">
        <f>'h2'!P24</f>
        <v>869</v>
      </c>
      <c r="Q59" s="9">
        <f>'h2'!Q24</f>
        <v>0.20000000000000018</v>
      </c>
      <c r="R59" s="9">
        <f>'h2'!R24</f>
        <v>0.10494699646643113</v>
      </c>
      <c r="S59" s="9">
        <f>'h2'!S24</f>
        <v>0.09505300353356905</v>
      </c>
      <c r="T59" s="9">
        <f>'h2'!T24</f>
        <v>1.953970080552359</v>
      </c>
      <c r="U59" s="9">
        <f>'h2'!U24</f>
        <v>15.519679382677063</v>
      </c>
      <c r="V59" s="9">
        <f>'h2'!V24</f>
        <v>0</v>
      </c>
      <c r="W59" s="9">
        <f>'h2'!W24</f>
        <v>1.8411967779056386</v>
      </c>
      <c r="X59" s="9">
        <f>'h2'!X24</f>
        <v>0</v>
      </c>
      <c r="Y59" s="9">
        <f>'h2'!Y24</f>
        <v>0.7364787111622555</v>
      </c>
      <c r="Z59" s="9">
        <f>'h2'!Z24</f>
        <v>0.9057239057239057</v>
      </c>
      <c r="AA59" s="9">
        <f>'h2'!AA24</f>
        <v>169.8</v>
      </c>
      <c r="AB59" s="9">
        <f>'h2'!AB24</f>
        <v>1.0546583850931674</v>
      </c>
      <c r="AC59" s="9">
        <f>'h2'!AC24</f>
        <v>169.8</v>
      </c>
      <c r="AD59" s="9">
        <f>'h2'!AD24</f>
        <v>2.6123076923076924</v>
      </c>
      <c r="AE59" s="46" t="s">
        <v>222</v>
      </c>
      <c r="AF59" s="9">
        <v>37.3939497</v>
      </c>
      <c r="AG59" s="9">
        <v>-5.991765</v>
      </c>
    </row>
    <row r="60">
      <c r="A60" s="10">
        <f>'h2'!A25</f>
        <v>59</v>
      </c>
      <c r="B60" t="str">
        <f>'h2'!B25</f>
        <v>Restauración</v>
      </c>
      <c r="C60" t="str">
        <f>'h2'!C25</f>
        <v>New Royalti By Ismael</v>
      </c>
      <c r="D60" t="str">
        <f>'h2'!D25</f>
        <v>Tripadvisor</v>
      </c>
      <c r="E60" s="9">
        <f>'h2'!E25</f>
        <v>1096</v>
      </c>
      <c r="F60" s="9">
        <f>'h2'!F25</f>
        <v>476</v>
      </c>
      <c r="G60" s="9">
        <f>'h2'!G25</f>
        <v>4.2</v>
      </c>
      <c r="H60" s="9">
        <f>'h2'!H25</f>
        <v>4.6</v>
      </c>
      <c r="I60" s="9">
        <f>'h2'!I25</f>
        <v>4.321119592875317</v>
      </c>
      <c r="J60" s="9">
        <f>'h2'!J25</f>
        <v>1</v>
      </c>
      <c r="K60" s="9">
        <f>'h2'!K25</f>
        <v>27</v>
      </c>
      <c r="L60" s="9">
        <f>'h2'!L25</f>
        <v>0</v>
      </c>
      <c r="M60" s="9">
        <f>'h2'!M25</f>
        <v>0</v>
      </c>
      <c r="N60" s="9">
        <f>'h2'!N25</f>
        <v>0</v>
      </c>
      <c r="O60" s="9">
        <f>'h2'!O25</f>
        <v>0</v>
      </c>
      <c r="P60" s="9">
        <f>'h2'!P25</f>
        <v>1410</v>
      </c>
      <c r="Q60" s="9">
        <f>'h2'!Q25</f>
        <v>0.39999999999999947</v>
      </c>
      <c r="R60" s="9">
        <f>'h2'!R25</f>
        <v>0.12111959287531704</v>
      </c>
      <c r="S60" s="9">
        <f>'h2'!S25</f>
        <v>0.27888040712468243</v>
      </c>
      <c r="T60" s="9">
        <f>'h2'!T25</f>
        <v>1.1148936170212767</v>
      </c>
      <c r="U60" s="9">
        <f>'h2'!U25</f>
        <v>13.812253705650622</v>
      </c>
      <c r="V60" s="9">
        <f>'h2'!V25</f>
        <v>0</v>
      </c>
      <c r="W60" s="9">
        <f>'h2'!W25</f>
        <v>0</v>
      </c>
      <c r="X60" s="9">
        <f>'h2'!X25</f>
        <v>0</v>
      </c>
      <c r="Y60" s="9">
        <f>'h2'!Y25</f>
        <v>0</v>
      </c>
      <c r="Z60" s="9">
        <f>'h2'!Z25</f>
        <v>2.302521008403361</v>
      </c>
      <c r="AA60" s="9">
        <f>'h2'!AA25</f>
        <v>157.2</v>
      </c>
      <c r="AB60" s="9">
        <f>'h2'!AB25</f>
        <v>157.2</v>
      </c>
      <c r="AC60" s="9">
        <f>'h2'!AC25</f>
        <v>157.2</v>
      </c>
      <c r="AD60" s="9">
        <f>'h2'!AD25</f>
        <v>157.2</v>
      </c>
      <c r="AE60" s="46" t="s">
        <v>220</v>
      </c>
      <c r="AF60" s="9">
        <v>37.3774128</v>
      </c>
      <c r="AG60" s="9">
        <v>-5.9810689</v>
      </c>
    </row>
    <row r="61">
      <c r="A61" s="10">
        <f>'h2'!A26</f>
        <v>60</v>
      </c>
      <c r="B61" t="str">
        <f>'h2'!B26</f>
        <v>Restauración</v>
      </c>
      <c r="C61" t="str">
        <f>'h2'!C26</f>
        <v>Pizzeria Da Simona</v>
      </c>
      <c r="D61" t="str">
        <f>'h2'!D26</f>
        <v>Tripadvisor</v>
      </c>
      <c r="E61" s="9">
        <f>'h2'!E26</f>
        <v>975</v>
      </c>
      <c r="F61" s="9">
        <f>'h2'!F26</f>
        <v>534</v>
      </c>
      <c r="G61" s="9">
        <f>'h2'!G26</f>
        <v>4.8</v>
      </c>
      <c r="H61" s="9">
        <f>'h2'!H26</f>
        <v>4.9</v>
      </c>
      <c r="I61" s="9">
        <f>'h2'!I26</f>
        <v>4.835387673956262</v>
      </c>
      <c r="J61" s="9">
        <f>'h2'!J26</f>
        <v>1</v>
      </c>
      <c r="K61" s="9">
        <f>'h2'!K26</f>
        <v>28</v>
      </c>
      <c r="L61" s="9">
        <f>'h2'!L26</f>
        <v>0</v>
      </c>
      <c r="M61" s="9">
        <f>'h2'!M26</f>
        <v>0</v>
      </c>
      <c r="N61" s="9">
        <f>'h2'!N26</f>
        <v>0</v>
      </c>
      <c r="O61" s="9">
        <f>'h2'!O26</f>
        <v>0</v>
      </c>
      <c r="P61" s="9">
        <f>'h2'!P26</f>
        <v>974</v>
      </c>
      <c r="Q61" s="9">
        <f>'h2'!Q26</f>
        <v>0.10000000000000053</v>
      </c>
      <c r="R61" s="9">
        <f>'h2'!R26</f>
        <v>0.03538767395626241</v>
      </c>
      <c r="S61" s="9">
        <f>'h2'!S26</f>
        <v>0.06461232604373812</v>
      </c>
      <c r="T61" s="9">
        <f>'h2'!T26</f>
        <v>1.5492813141683779</v>
      </c>
      <c r="U61" s="9">
        <f>'h2'!U26</f>
        <v>15.37019476934829</v>
      </c>
      <c r="V61" s="9">
        <f>'h2'!V26</f>
        <v>0</v>
      </c>
      <c r="W61" s="9">
        <f>'h2'!W26</f>
        <v>0</v>
      </c>
      <c r="X61" s="9">
        <f>'h2'!X26</f>
        <v>0</v>
      </c>
      <c r="Y61" s="9">
        <f>'h2'!Y26</f>
        <v>0</v>
      </c>
      <c r="Z61" s="9">
        <f>'h2'!Z26</f>
        <v>1.8258426966292134</v>
      </c>
      <c r="AA61" s="9">
        <f>'h2'!AA26</f>
        <v>150.9</v>
      </c>
      <c r="AB61" s="9">
        <f>'h2'!AB26</f>
        <v>150.9</v>
      </c>
      <c r="AC61" s="9">
        <f>'h2'!AC26</f>
        <v>150.9</v>
      </c>
      <c r="AD61" s="9">
        <f>'h2'!AD26</f>
        <v>150.9</v>
      </c>
      <c r="AE61" s="46" t="s">
        <v>220</v>
      </c>
      <c r="AF61" s="9">
        <v>37.394912</v>
      </c>
      <c r="AG61" s="9">
        <v>-5.9914028</v>
      </c>
    </row>
    <row r="62">
      <c r="A62" s="10">
        <f>'h2'!A27</f>
        <v>61</v>
      </c>
      <c r="B62" t="str">
        <f>'h2'!B27</f>
        <v>Restauración</v>
      </c>
      <c r="C62" t="str">
        <f>'h2'!C27</f>
        <v>Nudo</v>
      </c>
      <c r="D62" t="str">
        <f>'h2'!D27</f>
        <v>Publicidad</v>
      </c>
      <c r="E62" s="9">
        <f>'h2'!E27</f>
        <v>383</v>
      </c>
      <c r="F62" s="9">
        <f>'h2'!F27</f>
        <v>90</v>
      </c>
      <c r="G62" s="9">
        <f>'h2'!G27</f>
        <v>4.6</v>
      </c>
      <c r="H62" s="9">
        <f>'h2'!H27</f>
        <v>4.5</v>
      </c>
      <c r="I62" s="9">
        <f>'h2'!I27</f>
        <v>4.580972515856237</v>
      </c>
      <c r="J62" s="9">
        <f>'h2'!J27</f>
        <v>1</v>
      </c>
      <c r="K62" s="9">
        <f>'h2'!K27</f>
        <v>261</v>
      </c>
      <c r="L62" s="9">
        <f>'h2'!L27</f>
        <v>0</v>
      </c>
      <c r="M62" s="9">
        <f>'h2'!M27</f>
        <v>0</v>
      </c>
      <c r="N62" s="9">
        <f>'h2'!N27</f>
        <v>0</v>
      </c>
      <c r="O62" s="9">
        <f>'h2'!O27</f>
        <v>0</v>
      </c>
      <c r="P62" s="9">
        <f>'h2'!P27</f>
        <v>671</v>
      </c>
      <c r="Q62" s="9">
        <f>'h2'!Q27</f>
        <v>0.09999999999999964</v>
      </c>
      <c r="R62" s="9">
        <f>'h2'!R27</f>
        <v>0.019027484143762763</v>
      </c>
      <c r="S62" s="9">
        <f>'h2'!S27</f>
        <v>0.08097251585623688</v>
      </c>
      <c r="T62" s="9">
        <f>'h2'!T27</f>
        <v>0.7049180327868853</v>
      </c>
      <c r="U62" s="9">
        <f>'h2'!U27</f>
        <v>12.253465369451776</v>
      </c>
      <c r="V62" s="9">
        <f>'h2'!V27</f>
        <v>0</v>
      </c>
      <c r="W62" s="9">
        <f>'h2'!W27</f>
        <v>0</v>
      </c>
      <c r="X62" s="9">
        <f>'h2'!X27</f>
        <v>0</v>
      </c>
      <c r="Y62" s="9">
        <f>'h2'!Y27</f>
        <v>0</v>
      </c>
      <c r="Z62" s="9">
        <f>'h2'!Z27</f>
        <v>4.2555555555555555</v>
      </c>
      <c r="AA62" s="9">
        <f>'h2'!AA27</f>
        <v>47.3</v>
      </c>
      <c r="AB62" s="9">
        <f>'h2'!AB27</f>
        <v>47.3</v>
      </c>
      <c r="AC62" s="9">
        <f>'h2'!AC27</f>
        <v>47.3</v>
      </c>
      <c r="AD62" s="9">
        <f>'h2'!AD27</f>
        <v>47.3</v>
      </c>
      <c r="AE62" s="46" t="s">
        <v>224</v>
      </c>
      <c r="AF62" s="9">
        <v>37.3921882</v>
      </c>
      <c r="AG62" s="9">
        <v>-5.991691</v>
      </c>
    </row>
    <row r="63">
      <c r="A63" s="10">
        <f>'h2'!A28</f>
        <v>62</v>
      </c>
      <c r="B63" t="str">
        <f>'h2'!B28</f>
        <v>Restauración</v>
      </c>
      <c r="C63" t="str">
        <f>'h2'!C28</f>
        <v>Terraviva</v>
      </c>
      <c r="D63" t="str">
        <f>'h2'!D28</f>
        <v>Publicidad</v>
      </c>
      <c r="E63" s="9">
        <f>'h2'!E28</f>
        <v>1222</v>
      </c>
      <c r="F63" s="9">
        <f>'h2'!F28</f>
        <v>174</v>
      </c>
      <c r="G63" s="9">
        <f>'h2'!G28</f>
        <v>4.2</v>
      </c>
      <c r="H63" s="9">
        <f>'h2'!H28</f>
        <v>4</v>
      </c>
      <c r="I63" s="9">
        <f>'h2'!I28</f>
        <v>4.175071633237823</v>
      </c>
      <c r="J63" s="9">
        <f>'h2'!J28</f>
        <v>1</v>
      </c>
      <c r="K63" s="9">
        <f>'h2'!K28</f>
        <v>478</v>
      </c>
      <c r="L63" s="9">
        <f>'h2'!L28</f>
        <v>0</v>
      </c>
      <c r="M63" s="9">
        <f>'h2'!M28</f>
        <v>0</v>
      </c>
      <c r="N63" s="9">
        <f>'h2'!N28</f>
        <v>0</v>
      </c>
      <c r="O63" s="9">
        <f>'h2'!O28</f>
        <v>0</v>
      </c>
      <c r="P63" s="9">
        <f>'h2'!P28</f>
        <v>426</v>
      </c>
      <c r="Q63" s="9">
        <f>'h2'!Q28</f>
        <v>0.20000000000000018</v>
      </c>
      <c r="R63" s="9">
        <f>'h2'!R28</f>
        <v>0.024928366762177134</v>
      </c>
      <c r="S63" s="9">
        <f>'h2'!S28</f>
        <v>0.17507163323782304</v>
      </c>
      <c r="T63" s="9">
        <f>'h2'!T28</f>
        <v>3.276995305164319</v>
      </c>
      <c r="U63" s="9">
        <f>'h2'!U28</f>
        <v>13.130121899673913</v>
      </c>
      <c r="V63" s="9">
        <f>'h2'!V28</f>
        <v>0</v>
      </c>
      <c r="W63" s="9">
        <f>'h2'!W28</f>
        <v>0</v>
      </c>
      <c r="X63" s="9">
        <f>'h2'!X28</f>
        <v>0</v>
      </c>
      <c r="Y63" s="9">
        <f>'h2'!Y28</f>
        <v>0</v>
      </c>
      <c r="Z63" s="9">
        <f>'h2'!Z28</f>
        <v>7.022988505747127</v>
      </c>
      <c r="AA63" s="9">
        <f>'h2'!AA28</f>
        <v>139.6</v>
      </c>
      <c r="AB63" s="9">
        <f>'h2'!AB28</f>
        <v>139.6</v>
      </c>
      <c r="AC63" s="9">
        <f>'h2'!AC28</f>
        <v>139.6</v>
      </c>
      <c r="AD63" s="9">
        <f>'h2'!AD28</f>
        <v>139.6</v>
      </c>
      <c r="AE63" s="46" t="s">
        <v>224</v>
      </c>
      <c r="AF63" s="9">
        <v>37.3886606</v>
      </c>
      <c r="AG63" s="9">
        <v>-5.9965001</v>
      </c>
    </row>
    <row r="64">
      <c r="A64" s="10">
        <f>'h2'!A29</f>
        <v>63</v>
      </c>
      <c r="B64" t="str">
        <f>'h2'!B29</f>
        <v>Restauración</v>
      </c>
      <c r="C64" t="str">
        <f>'h2'!C29</f>
        <v>Seis Tapas Bar</v>
      </c>
      <c r="D64" t="str">
        <f>'h2'!D29</f>
        <v>Publicidad</v>
      </c>
      <c r="E64" s="9">
        <f>'h2'!E29</f>
        <v>4217</v>
      </c>
      <c r="F64" s="9">
        <f>'h2'!F29</f>
        <v>769</v>
      </c>
      <c r="G64" s="9">
        <f>'h2'!G29</f>
        <v>4.2</v>
      </c>
      <c r="H64" s="9">
        <f>'h2'!H29</f>
        <v>3.6</v>
      </c>
      <c r="I64" s="9">
        <f>'h2'!I29</f>
        <v>4.107460890493382</v>
      </c>
      <c r="J64" s="9">
        <f>'h2'!J29</f>
        <v>1</v>
      </c>
      <c r="K64" s="9">
        <f>'h2'!K29</f>
        <v>437</v>
      </c>
      <c r="L64" s="9">
        <f>'h2'!L29</f>
        <v>0</v>
      </c>
      <c r="M64" s="9">
        <f>'h2'!M29</f>
        <v>0</v>
      </c>
      <c r="N64" s="9">
        <f>'h2'!N29</f>
        <v>0</v>
      </c>
      <c r="O64" s="9">
        <f>'h2'!O29</f>
        <v>0</v>
      </c>
      <c r="P64" s="9">
        <f>'h2'!P29</f>
        <v>397</v>
      </c>
      <c r="Q64" s="9">
        <f>'h2'!Q29</f>
        <v>0.6000000000000001</v>
      </c>
      <c r="R64" s="9">
        <f>'h2'!R29</f>
        <v>0.09253910950661837</v>
      </c>
      <c r="S64" s="9">
        <f>'h2'!S29</f>
        <v>0.5074608904933817</v>
      </c>
      <c r="T64" s="9">
        <f>'h2'!T29</f>
        <v>12.55919395465995</v>
      </c>
      <c r="U64" s="9">
        <f>'h2'!U29</f>
        <v>15.188372848877012</v>
      </c>
      <c r="V64" s="9">
        <f>'h2'!V29</f>
        <v>0</v>
      </c>
      <c r="W64" s="9">
        <f>'h2'!W29</f>
        <v>0</v>
      </c>
      <c r="X64" s="9">
        <f>'h2'!X29</f>
        <v>0</v>
      </c>
      <c r="Y64" s="9">
        <f>'h2'!Y29</f>
        <v>0</v>
      </c>
      <c r="Z64" s="9">
        <f>'h2'!Z29</f>
        <v>5.483745123537061</v>
      </c>
      <c r="AA64" s="9">
        <f>'h2'!AA29</f>
        <v>498.6</v>
      </c>
      <c r="AB64" s="9">
        <f>'h2'!AB29</f>
        <v>498.6</v>
      </c>
      <c r="AC64" s="9">
        <f>'h2'!AC29</f>
        <v>498.6</v>
      </c>
      <c r="AD64" s="9">
        <f>'h2'!AD29</f>
        <v>498.6</v>
      </c>
      <c r="AE64" s="46" t="s">
        <v>224</v>
      </c>
      <c r="AF64" s="9">
        <v>37.4020197</v>
      </c>
      <c r="AG64" s="9">
        <v>-5.9952904</v>
      </c>
    </row>
    <row r="65">
      <c r="A65" s="10">
        <f>'h2'!A30</f>
        <v>64</v>
      </c>
      <c r="B65" t="str">
        <f>'h2'!B30</f>
        <v>Restauración</v>
      </c>
      <c r="C65" t="str">
        <f>'h2'!C30</f>
        <v>Restaurante Selva Negra Tapas</v>
      </c>
      <c r="D65" t="str">
        <f>'h2'!D30</f>
        <v>Publicidad</v>
      </c>
      <c r="E65" s="9">
        <f>'h2'!E30</f>
        <v>846</v>
      </c>
      <c r="F65" s="9">
        <f>'h2'!F30</f>
        <v>19</v>
      </c>
      <c r="G65" s="9">
        <f>'h2'!G30</f>
        <v>4.5</v>
      </c>
      <c r="H65" s="9">
        <f>'h2'!H30</f>
        <v>4.3</v>
      </c>
      <c r="I65" s="9">
        <f>'h2'!I30</f>
        <v>4.495606936416185</v>
      </c>
      <c r="J65" s="9">
        <f>'h2'!J30</f>
        <v>0</v>
      </c>
      <c r="K65" s="9">
        <f>'h2'!K30</f>
        <v>0</v>
      </c>
      <c r="L65" s="9">
        <f>'h2'!L30</f>
        <v>0</v>
      </c>
      <c r="M65" s="9">
        <f>'h2'!M30</f>
        <v>0</v>
      </c>
      <c r="N65" s="9">
        <f>'h2'!N30</f>
        <v>0</v>
      </c>
      <c r="O65" s="9">
        <f>'h2'!O30</f>
        <v>0</v>
      </c>
      <c r="P65" s="9">
        <f>'h2'!P30</f>
        <v>4760</v>
      </c>
      <c r="Q65" s="9">
        <f>'h2'!Q30</f>
        <v>0.20000000000000018</v>
      </c>
      <c r="R65" s="9">
        <f>'h2'!R30</f>
        <v>0.004393063583814971</v>
      </c>
      <c r="S65" s="9">
        <f>'h2'!S30</f>
        <v>0.1956069364161852</v>
      </c>
      <c r="T65" s="9">
        <f>'h2'!T30</f>
        <v>0.18172268907563024</v>
      </c>
      <c r="U65" s="9">
        <f>'h2'!U30</f>
        <v>13.203669985084883</v>
      </c>
      <c r="V65" s="9">
        <f>'h2'!V30</f>
        <v>0</v>
      </c>
      <c r="W65" s="9">
        <f>'h2'!W30</f>
        <v>0</v>
      </c>
      <c r="X65" s="9">
        <f>'h2'!X30</f>
        <v>0</v>
      </c>
      <c r="Y65" s="9">
        <f>'h2'!Y30</f>
        <v>0</v>
      </c>
      <c r="Z65" s="9">
        <f>'h2'!Z30</f>
        <v>44.526315789473685</v>
      </c>
      <c r="AA65" s="9">
        <f>'h2'!AA30</f>
        <v>86.5</v>
      </c>
      <c r="AB65" s="9">
        <f>'h2'!AB30</f>
        <v>86.5</v>
      </c>
      <c r="AC65" s="9">
        <f>'h2'!AC30</f>
        <v>86.5</v>
      </c>
      <c r="AD65" s="9">
        <f>'h2'!AD30</f>
        <v>86.5</v>
      </c>
      <c r="AE65" s="46" t="s">
        <v>224</v>
      </c>
      <c r="AF65" s="9">
        <v>37.3675892</v>
      </c>
      <c r="AG65" s="9">
        <v>-6.0412093</v>
      </c>
    </row>
    <row r="66">
      <c r="A66" s="10">
        <f>'h2'!A31</f>
        <v>65</v>
      </c>
      <c r="B66" t="str">
        <f>'h2'!B31</f>
        <v>Restauración</v>
      </c>
      <c r="C66" t="str">
        <f>'h2'!C31</f>
        <v>La Bernarda</v>
      </c>
      <c r="D66" t="str">
        <f>'h2'!D31</f>
        <v>Publicidad</v>
      </c>
      <c r="E66" s="9">
        <f>'h2'!E31</f>
        <v>8332</v>
      </c>
      <c r="F66" s="9">
        <f>'h2'!F31</f>
        <v>1161</v>
      </c>
      <c r="G66" s="9">
        <f>'h2'!G31</f>
        <v>4.4</v>
      </c>
      <c r="H66" s="9">
        <f>'h2'!H31</f>
        <v>3.8</v>
      </c>
      <c r="I66" s="9">
        <f>'h2'!I31</f>
        <v>4.326619614452755</v>
      </c>
      <c r="J66" s="9">
        <f>'h2'!J31</f>
        <v>1</v>
      </c>
      <c r="K66" s="9">
        <f>'h2'!K31</f>
        <v>304</v>
      </c>
      <c r="L66" s="9">
        <f>'h2'!L31</f>
        <v>0</v>
      </c>
      <c r="M66" s="9">
        <f>'h2'!M31</f>
        <v>0</v>
      </c>
      <c r="N66" s="9">
        <f>'h2'!N31</f>
        <v>0</v>
      </c>
      <c r="O66" s="9">
        <f>'h2'!O31</f>
        <v>0</v>
      </c>
      <c r="P66" s="9">
        <f>'h2'!P31</f>
        <v>760</v>
      </c>
      <c r="Q66" s="9">
        <f>'h2'!Q31</f>
        <v>0.6000000000000005</v>
      </c>
      <c r="R66" s="9">
        <f>'h2'!R31</f>
        <v>0.07338038554724502</v>
      </c>
      <c r="S66" s="9">
        <f>'h2'!S31</f>
        <v>0.5266196144527555</v>
      </c>
      <c r="T66" s="9">
        <f>'h2'!T31</f>
        <v>12.490789473684211</v>
      </c>
      <c r="U66" s="9">
        <f>'h2'!U31</f>
        <v>17.208711914939666</v>
      </c>
      <c r="V66" s="9">
        <f>'h2'!V31</f>
        <v>0</v>
      </c>
      <c r="W66" s="9">
        <f>'h2'!W31</f>
        <v>0</v>
      </c>
      <c r="X66" s="9">
        <f>'h2'!X31</f>
        <v>0</v>
      </c>
      <c r="Y66" s="9">
        <f>'h2'!Y31</f>
        <v>0</v>
      </c>
      <c r="Z66" s="9">
        <f>'h2'!Z31</f>
        <v>7.176571920757968</v>
      </c>
      <c r="AA66" s="9">
        <f>'h2'!AA31</f>
        <v>949.3</v>
      </c>
      <c r="AB66" s="9">
        <f>'h2'!AB31</f>
        <v>949.3</v>
      </c>
      <c r="AC66" s="9">
        <f>'h2'!AC31</f>
        <v>949.3</v>
      </c>
      <c r="AD66" s="9">
        <f>'h2'!AD31</f>
        <v>949.3</v>
      </c>
      <c r="AE66" s="46" t="s">
        <v>224</v>
      </c>
      <c r="AF66" s="9">
        <v>37.384359</v>
      </c>
      <c r="AG66" s="9">
        <v>-5.984343</v>
      </c>
    </row>
    <row r="67">
      <c r="A67" s="10">
        <f>'h2'!A32</f>
        <v>66</v>
      </c>
      <c r="B67" t="str">
        <f>'h2'!B32</f>
        <v>Restauración</v>
      </c>
      <c r="C67" t="str">
        <f>'h2'!C32</f>
        <v>Lobo buhaira restaurante</v>
      </c>
      <c r="D67" t="str">
        <f>'h2'!D32</f>
        <v>Publicidad</v>
      </c>
      <c r="E67" s="9">
        <f>'h2'!E32</f>
        <v>253</v>
      </c>
      <c r="F67" s="9">
        <f>'h2'!F32</f>
        <v>1</v>
      </c>
      <c r="G67" s="9">
        <f>'h2'!G32</f>
        <v>4.7</v>
      </c>
      <c r="H67" s="9">
        <f>'h2'!H32</f>
        <v>0</v>
      </c>
      <c r="I67" s="9">
        <f>'h2'!I32</f>
        <v>4.681496062992126</v>
      </c>
      <c r="J67" s="9">
        <f>'h2'!J32</f>
        <v>0</v>
      </c>
      <c r="K67" s="9">
        <f>'h2'!K32</f>
        <v>0</v>
      </c>
      <c r="L67" s="9">
        <f>'h2'!L32</f>
        <v>0</v>
      </c>
      <c r="M67" s="9">
        <f>'h2'!M32</f>
        <v>0</v>
      </c>
      <c r="N67" s="9">
        <f>'h2'!N32</f>
        <v>0</v>
      </c>
      <c r="O67" s="9">
        <f>'h2'!O32</f>
        <v>0</v>
      </c>
      <c r="P67" s="9">
        <f>'h2'!P32</f>
        <v>1310</v>
      </c>
      <c r="Q67" s="9">
        <f>'h2'!Q32</f>
        <v>4.7</v>
      </c>
      <c r="R67" s="9">
        <f>'h2'!R32</f>
        <v>0.018503937007873894</v>
      </c>
      <c r="S67" s="9">
        <f>'h2'!S32</f>
        <v>4.681496062992126</v>
      </c>
      <c r="T67" s="9">
        <f>'h2'!T32</f>
        <v>0.19389312977099238</v>
      </c>
      <c r="U67" s="9">
        <f>'h2'!U32</f>
        <v>11.258219576506963</v>
      </c>
      <c r="V67" s="9">
        <f>'h2'!V32</f>
        <v>0</v>
      </c>
      <c r="W67" s="9">
        <f>'h2'!W32</f>
        <v>0</v>
      </c>
      <c r="X67" s="9">
        <f>'h2'!X32</f>
        <v>0</v>
      </c>
      <c r="Y67" s="9">
        <f>'h2'!Y32</f>
        <v>0</v>
      </c>
      <c r="Z67" s="9">
        <f>'h2'!Z32</f>
        <v>253</v>
      </c>
      <c r="AA67" s="9">
        <f>'h2'!AA32</f>
        <v>25.4</v>
      </c>
      <c r="AB67" s="9">
        <f>'h2'!AB32</f>
        <v>25.4</v>
      </c>
      <c r="AC67" s="9">
        <f>'h2'!AC32</f>
        <v>25.4</v>
      </c>
      <c r="AD67" s="9">
        <f>'h2'!AD32</f>
        <v>25.4</v>
      </c>
      <c r="AE67" s="46" t="s">
        <v>224</v>
      </c>
      <c r="AF67" s="9">
        <v>37.3807438</v>
      </c>
      <c r="AG67" s="9">
        <v>-5.9794082</v>
      </c>
    </row>
    <row r="68">
      <c r="A68" s="10">
        <f>'h2'!A33</f>
        <v>67</v>
      </c>
      <c r="B68" t="str">
        <f>'h2'!B33</f>
        <v>Restauración</v>
      </c>
      <c r="C68" t="str">
        <f>'h2'!C33</f>
        <v>Morancho Brasería</v>
      </c>
      <c r="D68" t="str">
        <f>'h2'!D33</f>
        <v>Publicidad</v>
      </c>
      <c r="E68" s="9">
        <f>'h2'!E33</f>
        <v>3799</v>
      </c>
      <c r="F68" s="9">
        <f>'h2'!F33</f>
        <v>1</v>
      </c>
      <c r="G68" s="9">
        <f>'h2'!G33</f>
        <v>4.7</v>
      </c>
      <c r="H68" s="9">
        <f>'h2'!H33</f>
        <v>0</v>
      </c>
      <c r="I68" s="9">
        <f>'h2'!I33</f>
        <v>4.698763157894737</v>
      </c>
      <c r="J68" s="9">
        <f>'h2'!J33</f>
        <v>0</v>
      </c>
      <c r="K68" s="9">
        <f>'h2'!K33</f>
        <v>0</v>
      </c>
      <c r="L68" s="9">
        <f>'h2'!L33</f>
        <v>0</v>
      </c>
      <c r="M68" s="9">
        <f>'h2'!M33</f>
        <v>0</v>
      </c>
      <c r="N68" s="9">
        <f>'h2'!N33</f>
        <v>0</v>
      </c>
      <c r="O68" s="9">
        <f>'h2'!O33</f>
        <v>0</v>
      </c>
      <c r="P68" s="9">
        <f>'h2'!P33</f>
        <v>6260</v>
      </c>
      <c r="Q68" s="9">
        <f>'h2'!Q33</f>
        <v>4.7</v>
      </c>
      <c r="R68" s="9">
        <f>'h2'!R33</f>
        <v>0.0012368421052633138</v>
      </c>
      <c r="S68" s="9">
        <f>'h2'!S33</f>
        <v>4.698763157894737</v>
      </c>
      <c r="T68" s="9">
        <f>'h2'!T33</f>
        <v>0.6070287539936102</v>
      </c>
      <c r="U68" s="9">
        <f>'h2'!U33</f>
        <v>16.820555277018983</v>
      </c>
      <c r="V68" s="9">
        <f>'h2'!V33</f>
        <v>0</v>
      </c>
      <c r="W68" s="9">
        <f>'h2'!W33</f>
        <v>0</v>
      </c>
      <c r="X68" s="9">
        <f>'h2'!X33</f>
        <v>0</v>
      </c>
      <c r="Y68" s="9">
        <f>'h2'!Y33</f>
        <v>0</v>
      </c>
      <c r="Z68" s="9">
        <f>'h2'!Z33</f>
        <v>3799</v>
      </c>
      <c r="AA68" s="9">
        <f>'h2'!AA33</f>
        <v>380</v>
      </c>
      <c r="AB68" s="9">
        <f>'h2'!AB33</f>
        <v>380</v>
      </c>
      <c r="AC68" s="9">
        <f>'h2'!AC33</f>
        <v>380</v>
      </c>
      <c r="AD68" s="9">
        <f>'h2'!AD33</f>
        <v>380</v>
      </c>
      <c r="AE68" s="46" t="s">
        <v>224</v>
      </c>
      <c r="AF68" s="9">
        <v>37.394744</v>
      </c>
      <c r="AG68" s="9">
        <v>-6.0626514</v>
      </c>
    </row>
    <row r="69">
      <c r="A69" s="10">
        <f>'h3'!A2</f>
        <v>68</v>
      </c>
      <c r="B69" t="str">
        <f>'h3'!B2</f>
        <v>Hotel</v>
      </c>
      <c r="C69" t="str">
        <f>'h3'!C2</f>
        <v>Hotel Gravina 51</v>
      </c>
      <c r="D69" t="str">
        <f>'h3'!D2</f>
        <v>Tripadvisor</v>
      </c>
      <c r="E69" s="9">
        <f>'h3'!E2</f>
        <v>566</v>
      </c>
      <c r="F69" s="9">
        <f>'h3'!F2</f>
        <v>1394</v>
      </c>
      <c r="G69" s="9">
        <f>'h3'!G2</f>
        <v>4.9</v>
      </c>
      <c r="H69" s="9">
        <f>'h3'!H2</f>
        <v>5</v>
      </c>
      <c r="I69" s="9">
        <f>'h3'!I2</f>
        <v>4.9711224489795915</v>
      </c>
      <c r="J69" s="9">
        <f>'h3'!J2</f>
        <v>1</v>
      </c>
      <c r="K69" s="9">
        <f>'h3'!K2</f>
        <v>1</v>
      </c>
      <c r="L69" s="9">
        <f>'h3'!L2</f>
        <v>0</v>
      </c>
      <c r="M69" s="9">
        <f>'h3'!M2</f>
        <v>0</v>
      </c>
      <c r="N69" s="9">
        <f>'h3'!N2</f>
        <v>0</v>
      </c>
      <c r="O69" s="9">
        <f>'h3'!O2</f>
        <v>0</v>
      </c>
      <c r="P69" s="9">
        <f>'h3'!P2</f>
        <v>785</v>
      </c>
      <c r="Q69" s="9">
        <f>'h3'!Q2</f>
        <v>0.09999999999999964</v>
      </c>
      <c r="R69" s="9">
        <f>'h3'!R2</f>
        <v>0.028877551020408454</v>
      </c>
      <c r="S69" s="9">
        <f>'h3'!S2</f>
        <v>0.028877551020408454</v>
      </c>
      <c r="T69" s="9">
        <f>'h3'!T2</f>
        <v>2.4968152866242037</v>
      </c>
      <c r="U69" s="9">
        <f>'h3'!U2</f>
        <v>16.366208064109532</v>
      </c>
      <c r="V69" s="9">
        <f>'h3'!V2</f>
        <v>0</v>
      </c>
      <c r="W69" s="9">
        <f>'h3'!W2</f>
        <v>0</v>
      </c>
      <c r="X69" s="9">
        <f>'h3'!X2</f>
        <v>0</v>
      </c>
      <c r="Y69" s="9">
        <f>'h3'!Y2</f>
        <v>0</v>
      </c>
      <c r="Z69" s="9">
        <f>'h3'!Z2</f>
        <v>0.406025824964132</v>
      </c>
      <c r="AA69" s="9">
        <f>'h3'!AA2</f>
        <v>196</v>
      </c>
      <c r="AB69" s="9">
        <f>'h3'!AB2</f>
        <v>196</v>
      </c>
      <c r="AC69" s="9">
        <f>'h3'!AC2</f>
        <v>196</v>
      </c>
      <c r="AD69" s="9">
        <f>'h3'!AD2</f>
        <v>196</v>
      </c>
      <c r="AE69" s="46" t="s">
        <v>220</v>
      </c>
      <c r="AF69" s="9">
        <v>37.3899868</v>
      </c>
      <c r="AG69" s="9">
        <v>-6.0001073</v>
      </c>
    </row>
    <row r="70">
      <c r="A70" s="10">
        <f>'h3'!A3</f>
        <v>69</v>
      </c>
      <c r="B70" t="str">
        <f>'h3'!B3</f>
        <v>Hotel</v>
      </c>
      <c r="C70" t="str">
        <f>'h3'!C3</f>
        <v>Hotel Tayko Sevilla</v>
      </c>
      <c r="D70" t="str">
        <f>'h3'!D3</f>
        <v>Tripadvisor</v>
      </c>
      <c r="E70" s="9">
        <f>'h3'!E3</f>
        <v>260</v>
      </c>
      <c r="F70" s="9">
        <f>'h3'!F3</f>
        <v>493</v>
      </c>
      <c r="G70" s="9">
        <f>'h3'!G3</f>
        <v>4.8</v>
      </c>
      <c r="H70" s="9">
        <f>'h3'!H3</f>
        <v>5</v>
      </c>
      <c r="I70" s="9">
        <f>'h3'!I3</f>
        <v>4.930942895086321</v>
      </c>
      <c r="J70" s="9">
        <f>'h3'!J3</f>
        <v>1</v>
      </c>
      <c r="K70" s="9">
        <f>'h3'!K3</f>
        <v>2</v>
      </c>
      <c r="L70" s="9">
        <f>'h3'!L3</f>
        <v>0</v>
      </c>
      <c r="M70" s="9">
        <f>'h3'!M3</f>
        <v>0</v>
      </c>
      <c r="N70" s="9">
        <f>'h3'!N3</f>
        <v>0</v>
      </c>
      <c r="O70" s="9">
        <f>'h3'!O3</f>
        <v>0</v>
      </c>
      <c r="P70" s="9">
        <f>'h3'!P3</f>
        <v>440</v>
      </c>
      <c r="Q70" s="9">
        <f>'h3'!Q3</f>
        <v>0.20000000000000018</v>
      </c>
      <c r="R70" s="9">
        <f>'h3'!R3</f>
        <v>0.13094289508632162</v>
      </c>
      <c r="S70" s="9">
        <f>'h3'!S3</f>
        <v>0.06905710491367856</v>
      </c>
      <c r="T70" s="9">
        <f>'h3'!T3</f>
        <v>1.7113636363636364</v>
      </c>
      <c r="U70" s="9">
        <f>'h3'!U3</f>
        <v>14.185311748516868</v>
      </c>
      <c r="V70" s="9">
        <f>'h3'!V3</f>
        <v>0</v>
      </c>
      <c r="W70" s="9">
        <f>'h3'!W3</f>
        <v>0</v>
      </c>
      <c r="X70" s="9">
        <f>'h3'!X3</f>
        <v>0</v>
      </c>
      <c r="Y70" s="9">
        <f>'h3'!Y3</f>
        <v>0</v>
      </c>
      <c r="Z70" s="9">
        <f>'h3'!Z3</f>
        <v>0.5273833671399595</v>
      </c>
      <c r="AA70" s="9">
        <f>'h3'!AA3</f>
        <v>75.3</v>
      </c>
      <c r="AB70" s="9">
        <f>'h3'!AB3</f>
        <v>75.3</v>
      </c>
      <c r="AC70" s="9">
        <f>'h3'!AC3</f>
        <v>75.3</v>
      </c>
      <c r="AD70" s="9">
        <f>'h3'!AD3</f>
        <v>75.3</v>
      </c>
      <c r="AE70" s="46" t="s">
        <v>220</v>
      </c>
      <c r="AF70" s="9">
        <v>37.382342</v>
      </c>
      <c r="AG70" s="9">
        <v>-5.993942</v>
      </c>
    </row>
    <row r="71" ht="30.75">
      <c r="A71" s="10">
        <f>'h3'!A4</f>
        <v>70</v>
      </c>
      <c r="B71" t="str">
        <f>'h3'!B4</f>
        <v>Hotel</v>
      </c>
      <c r="C71" t="str">
        <f>'h3'!C4</f>
        <v>Cavalta Boutique Hotel</v>
      </c>
      <c r="D71" t="str">
        <f>'h3'!D4</f>
        <v>Tripadvisor</v>
      </c>
      <c r="E71" s="9">
        <f>'h3'!E4</f>
        <v>185</v>
      </c>
      <c r="F71" s="9">
        <f>'h3'!F4</f>
        <v>224</v>
      </c>
      <c r="G71" s="9">
        <f>'h3'!G4</f>
        <v>4.5</v>
      </c>
      <c r="H71" s="9">
        <f>'h3'!H4</f>
        <v>4.9</v>
      </c>
      <c r="I71" s="9">
        <f>'h3'!I4</f>
        <v>4.719070904645477</v>
      </c>
      <c r="J71" s="9">
        <f>'h3'!J4</f>
        <v>1</v>
      </c>
      <c r="K71" s="9">
        <f>'h3'!K4</f>
        <v>3</v>
      </c>
      <c r="L71" s="9">
        <f>'h3'!L4</f>
        <v>0</v>
      </c>
      <c r="M71" s="9">
        <f>'h3'!M4</f>
        <v>0</v>
      </c>
      <c r="N71" s="9">
        <f>'h3'!N4</f>
        <v>20</v>
      </c>
      <c r="O71" s="9">
        <f>'h3'!O4</f>
        <v>2</v>
      </c>
      <c r="P71" s="9">
        <f>'h3'!P4</f>
        <v>1510</v>
      </c>
      <c r="Q71" s="9">
        <f>'h3'!Q4</f>
        <v>0.40000000000000036</v>
      </c>
      <c r="R71" s="9">
        <f>'h3'!R4</f>
        <v>0.21907090464547707</v>
      </c>
      <c r="S71" s="9">
        <f>'h3'!S4</f>
        <v>0.18092909535452328</v>
      </c>
      <c r="T71" s="9">
        <f>'h3'!T4</f>
        <v>0.27086092715231785</v>
      </c>
      <c r="U71" s="9">
        <f>'h3'!U4</f>
        <v>12.324907473801884</v>
      </c>
      <c r="V71" s="9">
        <f>'h3'!V4</f>
        <v>0</v>
      </c>
      <c r="W71" s="9">
        <f>'h3'!W4</f>
        <v>0</v>
      </c>
      <c r="X71" s="9">
        <f>'h3'!X4</f>
        <v>1.3245033112582782</v>
      </c>
      <c r="Y71" s="9">
        <f>'h3'!Y4</f>
        <v>0.13245033112582782</v>
      </c>
      <c r="Z71" s="9">
        <f>'h3'!Z4</f>
        <v>0.8258928571428571</v>
      </c>
      <c r="AA71" s="9">
        <f>'h3'!AA4</f>
        <v>40.9</v>
      </c>
      <c r="AB71" s="9">
        <f>'h3'!AB4</f>
        <v>40.9</v>
      </c>
      <c r="AC71" s="9">
        <f>'h3'!AC4</f>
        <v>0.20348258706467662</v>
      </c>
      <c r="AD71" s="9">
        <f>'h3'!AD4</f>
        <v>1.9476190476190476</v>
      </c>
      <c r="AE71" s="46" t="s">
        <v>223</v>
      </c>
      <c r="AF71" s="9">
        <v>37.3812372</v>
      </c>
      <c r="AG71" s="9">
        <v>-6.0084826</v>
      </c>
    </row>
    <row r="72">
      <c r="A72" s="10">
        <f>'h3'!A5</f>
        <v>71</v>
      </c>
      <c r="B72" t="str">
        <f>'h3'!B5</f>
        <v>Hotel</v>
      </c>
      <c r="C72" t="str">
        <f>'h3'!C5</f>
        <v>H10 Casa de la Plata</v>
      </c>
      <c r="D72" t="str">
        <f>'h3'!D5</f>
        <v>Tripadvisor</v>
      </c>
      <c r="E72" s="9">
        <f>'h3'!E5</f>
        <v>971</v>
      </c>
      <c r="F72" s="9">
        <f>'h3'!F5</f>
        <v>920</v>
      </c>
      <c r="G72" s="9">
        <f>'h3'!G5</f>
        <v>4.8</v>
      </c>
      <c r="H72" s="9">
        <f>'h3'!H5</f>
        <v>4.9</v>
      </c>
      <c r="I72" s="9">
        <f>'h3'!I5</f>
        <v>4.848651507139079</v>
      </c>
      <c r="J72" s="9">
        <f>'h3'!J5</f>
        <v>1</v>
      </c>
      <c r="K72" s="9">
        <f>'h3'!K5</f>
        <v>4</v>
      </c>
      <c r="L72" s="9">
        <f>'h3'!L5</f>
        <v>0</v>
      </c>
      <c r="M72" s="9">
        <f>'h3'!M5</f>
        <v>0</v>
      </c>
      <c r="N72" s="9">
        <f>'h3'!N5</f>
        <v>0</v>
      </c>
      <c r="O72" s="9">
        <f>'h3'!O5</f>
        <v>0</v>
      </c>
      <c r="P72" s="9">
        <f>'h3'!P5</f>
        <v>548</v>
      </c>
      <c r="Q72" s="9">
        <f>'h3'!Q5</f>
        <v>0.10000000000000053</v>
      </c>
      <c r="R72" s="9">
        <f>'h3'!R5</f>
        <v>0.04865150713907962</v>
      </c>
      <c r="S72" s="9">
        <f>'h3'!S5</f>
        <v>0.051348492860920913</v>
      </c>
      <c r="T72" s="9">
        <f>'h3'!T5</f>
        <v>3.4507299270072993</v>
      </c>
      <c r="U72" s="9">
        <f>'h3'!U5</f>
        <v>15.887535319764357</v>
      </c>
      <c r="V72" s="9">
        <f>'h3'!V5</f>
        <v>0</v>
      </c>
      <c r="W72" s="9">
        <f>'h3'!W5</f>
        <v>0</v>
      </c>
      <c r="X72" s="9">
        <f>'h3'!X5</f>
        <v>0</v>
      </c>
      <c r="Y72" s="9">
        <f>'h3'!Y5</f>
        <v>0</v>
      </c>
      <c r="Z72" s="9">
        <f>'h3'!Z5</f>
        <v>1.0554347826086956</v>
      </c>
      <c r="AA72" s="9">
        <f>'h3'!AA5</f>
        <v>189.1</v>
      </c>
      <c r="AB72" s="9">
        <f>'h3'!AB5</f>
        <v>189.1</v>
      </c>
      <c r="AC72" s="9">
        <f>'h3'!AC5</f>
        <v>189.1</v>
      </c>
      <c r="AD72" s="9">
        <f>'h3'!AD5</f>
        <v>189.1</v>
      </c>
      <c r="AE72" s="46" t="s">
        <v>220</v>
      </c>
      <c r="AF72" s="9">
        <v>37.391091</v>
      </c>
      <c r="AG72" s="9">
        <v>-5.9925335</v>
      </c>
    </row>
    <row r="73" ht="30.75">
      <c r="A73" s="10">
        <f>'h3'!A6</f>
        <v>72</v>
      </c>
      <c r="B73" t="str">
        <f>'h3'!B6</f>
        <v>Hotel</v>
      </c>
      <c r="C73" t="str">
        <f>'h3'!C6</f>
        <v>Mercer Plaza Sevilla</v>
      </c>
      <c r="D73" t="str">
        <f>'h3'!D6</f>
        <v>Tripadvisor</v>
      </c>
      <c r="E73" s="9">
        <f>'h3'!E6</f>
        <v>206</v>
      </c>
      <c r="F73" s="9">
        <f>'h3'!F6</f>
        <v>216</v>
      </c>
      <c r="G73" s="9">
        <f>'h3'!G6</f>
        <v>4.7</v>
      </c>
      <c r="H73" s="9">
        <f>'h3'!H6</f>
        <v>4.9</v>
      </c>
      <c r="I73" s="9">
        <f>'h3'!I6</f>
        <v>4.802369668246445</v>
      </c>
      <c r="J73" s="9">
        <f>'h3'!J6</f>
        <v>1</v>
      </c>
      <c r="K73" s="9">
        <f>'h3'!K6</f>
        <v>5</v>
      </c>
      <c r="L73" s="9">
        <f>'h3'!L6</f>
        <v>0</v>
      </c>
      <c r="M73" s="9">
        <f>'h3'!M6</f>
        <v>20</v>
      </c>
      <c r="N73" s="9">
        <f>'h3'!N6</f>
        <v>0</v>
      </c>
      <c r="O73" s="9">
        <f>'h3'!O6</f>
        <v>8</v>
      </c>
      <c r="P73" s="9">
        <f>'h3'!P6</f>
        <v>255</v>
      </c>
      <c r="Q73" s="9">
        <f>'h3'!Q6</f>
        <v>0.20000000000000018</v>
      </c>
      <c r="R73" s="9">
        <f>'h3'!R6</f>
        <v>0.10236966824644522</v>
      </c>
      <c r="S73" s="9">
        <f>'h3'!S6</f>
        <v>0.09763033175355496</v>
      </c>
      <c r="T73" s="9">
        <f>'h3'!T6</f>
        <v>1.6549019607843136</v>
      </c>
      <c r="U73" s="9">
        <f>'h3'!U6</f>
        <v>12.607720884168076</v>
      </c>
      <c r="V73" s="9">
        <f>'h3'!V6</f>
        <v>0</v>
      </c>
      <c r="W73" s="9">
        <f>'h3'!W6</f>
        <v>7.8431372549019605</v>
      </c>
      <c r="X73" s="9">
        <f>'h3'!X6</f>
        <v>0</v>
      </c>
      <c r="Y73" s="9">
        <f>'h3'!Y6</f>
        <v>3.1372549019607843</v>
      </c>
      <c r="Z73" s="9">
        <f>'h3'!Z6</f>
        <v>0.9537037037037037</v>
      </c>
      <c r="AA73" s="9">
        <f>'h3'!AA6</f>
        <v>42.2</v>
      </c>
      <c r="AB73" s="9">
        <f>'h3'!AB6</f>
        <v>0.2099502487562189</v>
      </c>
      <c r="AC73" s="9">
        <f>'h3'!AC6</f>
        <v>42.2</v>
      </c>
      <c r="AD73" s="9">
        <f>'h3'!AD6</f>
        <v>0.5209876543209877</v>
      </c>
      <c r="AE73" s="46" t="s">
        <v>222</v>
      </c>
      <c r="AF73" s="9">
        <v>37.388315</v>
      </c>
      <c r="AG73" s="9">
        <v>-5.9935958</v>
      </c>
    </row>
    <row r="74" ht="30.75">
      <c r="A74" s="10">
        <f>'h3'!A7</f>
        <v>73</v>
      </c>
      <c r="B74" t="str">
        <f>'h3'!B7</f>
        <v>Hotel</v>
      </c>
      <c r="C74" t="str">
        <f>'h3'!C7</f>
        <v>Colectia Hotel Parada del Marqués</v>
      </c>
      <c r="D74" t="str">
        <f>'h3'!D7</f>
        <v>Tripadvisor</v>
      </c>
      <c r="E74" s="9">
        <f>'h3'!E7</f>
        <v>321</v>
      </c>
      <c r="F74" s="9">
        <f>'h3'!F7</f>
        <v>493</v>
      </c>
      <c r="G74" s="9">
        <f>'h3'!G7</f>
        <v>4.6</v>
      </c>
      <c r="H74" s="9">
        <f>'h3'!H7</f>
        <v>4.8</v>
      </c>
      <c r="I74" s="9">
        <f>'h3'!I7</f>
        <v>4.721130221130221</v>
      </c>
      <c r="J74" s="9">
        <f>'h3'!J7</f>
        <v>1</v>
      </c>
      <c r="K74" s="9">
        <f>'h3'!K7</f>
        <v>6</v>
      </c>
      <c r="L74" s="9">
        <f>'h3'!L7</f>
        <v>0</v>
      </c>
      <c r="M74" s="9">
        <f>'h3'!M7</f>
        <v>0</v>
      </c>
      <c r="N74" s="9">
        <f>'h3'!N7</f>
        <v>25</v>
      </c>
      <c r="O74" s="9">
        <f>'h3'!O7</f>
        <v>2.5</v>
      </c>
      <c r="P74" s="9">
        <f>'h3'!P7</f>
        <v>922</v>
      </c>
      <c r="Q74" s="9">
        <f>'h3'!Q7</f>
        <v>0.20000000000000018</v>
      </c>
      <c r="R74" s="9">
        <f>'h3'!R7</f>
        <v>0.12113022113022165</v>
      </c>
      <c r="S74" s="9">
        <f>'h3'!S7</f>
        <v>0.07886977886977853</v>
      </c>
      <c r="T74" s="9">
        <f>'h3'!T7</f>
        <v>0.8828633405639913</v>
      </c>
      <c r="U74" s="9">
        <f>'h3'!U7</f>
        <v>13.741436840281573</v>
      </c>
      <c r="V74" s="9">
        <f>'h3'!V7</f>
        <v>0</v>
      </c>
      <c r="W74" s="9">
        <f>'h3'!W7</f>
        <v>0</v>
      </c>
      <c r="X74" s="9">
        <f>'h3'!X7</f>
        <v>2.711496746203905</v>
      </c>
      <c r="Y74" s="9">
        <f>'h3'!Y7</f>
        <v>0.27114967462039047</v>
      </c>
      <c r="Z74" s="9">
        <f>'h3'!Z7</f>
        <v>0.6511156186612576</v>
      </c>
      <c r="AA74" s="9">
        <f>'h3'!AA7</f>
        <v>81.4</v>
      </c>
      <c r="AB74" s="9">
        <f>'h3'!AB7</f>
        <v>81.4</v>
      </c>
      <c r="AC74" s="9">
        <f>'h3'!AC7</f>
        <v>0.3243027888446215</v>
      </c>
      <c r="AD74" s="9">
        <f>'h3'!AD7</f>
        <v>3.1307692307692307</v>
      </c>
      <c r="AE74" s="46" t="s">
        <v>223</v>
      </c>
      <c r="AF74" s="9">
        <v>37.390942</v>
      </c>
      <c r="AG74" s="9">
        <v>-6.0012962</v>
      </c>
    </row>
    <row r="75">
      <c r="A75" s="10">
        <f>'h3'!A8</f>
        <v>74</v>
      </c>
      <c r="B75" t="str">
        <f>'h3'!B8</f>
        <v>Hotel</v>
      </c>
      <c r="C75" t="str">
        <f>'h3'!C8</f>
        <v>Hotel Kivir</v>
      </c>
      <c r="D75" t="str">
        <f>'h3'!D8</f>
        <v>Tripadvisor</v>
      </c>
      <c r="E75" s="9">
        <f>'h3'!E8</f>
        <v>1161</v>
      </c>
      <c r="F75" s="9">
        <f>'h3'!F8</f>
        <v>694</v>
      </c>
      <c r="G75" s="9">
        <f>'h3'!G8</f>
        <v>4.7</v>
      </c>
      <c r="H75" s="9">
        <f>'h3'!H8</f>
        <v>4.9</v>
      </c>
      <c r="I75" s="9">
        <f>'h3'!I8</f>
        <v>4.7748247978436655</v>
      </c>
      <c r="J75" s="9">
        <f>'h3'!J8</f>
        <v>1</v>
      </c>
      <c r="K75" s="9">
        <f>'h3'!K8</f>
        <v>7</v>
      </c>
      <c r="L75" s="9">
        <f>'h3'!L8</f>
        <v>0</v>
      </c>
      <c r="M75" s="9">
        <f>'h3'!M8</f>
        <v>0</v>
      </c>
      <c r="N75" s="9">
        <f>'h3'!N8</f>
        <v>0</v>
      </c>
      <c r="O75" s="9">
        <f>'h3'!O8</f>
        <v>0</v>
      </c>
      <c r="P75" s="9">
        <f>'h3'!P8</f>
        <v>730</v>
      </c>
      <c r="Q75" s="9">
        <f>'h3'!Q8</f>
        <v>0.20000000000000018</v>
      </c>
      <c r="R75" s="9">
        <f>'h3'!R8</f>
        <v>0.07482479784366536</v>
      </c>
      <c r="S75" s="9">
        <f>'h3'!S8</f>
        <v>0.12517520215633482</v>
      </c>
      <c r="T75" s="9">
        <f>'h3'!T8</f>
        <v>2.541095890410959</v>
      </c>
      <c r="U75" s="9">
        <f>'h3'!U8</f>
        <v>15.605769568214967</v>
      </c>
      <c r="V75" s="9">
        <f>'h3'!V8</f>
        <v>0</v>
      </c>
      <c r="W75" s="9">
        <f>'h3'!W8</f>
        <v>0</v>
      </c>
      <c r="X75" s="9">
        <f>'h3'!X8</f>
        <v>0</v>
      </c>
      <c r="Y75" s="9">
        <f>'h3'!Y8</f>
        <v>0</v>
      </c>
      <c r="Z75" s="9">
        <f>'h3'!Z8</f>
        <v>1.6729106628242074</v>
      </c>
      <c r="AA75" s="9">
        <f>'h3'!AA8</f>
        <v>185.5</v>
      </c>
      <c r="AB75" s="9">
        <f>'h3'!AB8</f>
        <v>185.5</v>
      </c>
      <c r="AC75" s="9">
        <f>'h3'!AC8</f>
        <v>185.5</v>
      </c>
      <c r="AD75" s="9">
        <f>'h3'!AD8</f>
        <v>185.5</v>
      </c>
      <c r="AE75" s="46" t="s">
        <v>220</v>
      </c>
      <c r="AF75" s="9">
        <v>37.3873117</v>
      </c>
      <c r="AG75" s="9">
        <v>-6.0007439</v>
      </c>
    </row>
    <row r="76">
      <c r="A76" s="10">
        <f>'h3'!A9</f>
        <v>75</v>
      </c>
      <c r="B76" t="str">
        <f>'h3'!B9</f>
        <v>Hotel</v>
      </c>
      <c r="C76" t="str">
        <f>'h3'!C9</f>
        <v>Corral del Rey</v>
      </c>
      <c r="D76" t="str">
        <f>'h3'!D9</f>
        <v>Tripadvisor</v>
      </c>
      <c r="E76" s="9">
        <f>'h3'!E9</f>
        <v>148</v>
      </c>
      <c r="F76" s="9">
        <f>'h3'!F9</f>
        <v>1087</v>
      </c>
      <c r="G76" s="9">
        <f>'h3'!G9</f>
        <v>4.6</v>
      </c>
      <c r="H76" s="9">
        <f>'h3'!H9</f>
        <v>4.8</v>
      </c>
      <c r="I76" s="9">
        <f>'h3'!I9</f>
        <v>4.7760323886639675</v>
      </c>
      <c r="J76" s="9">
        <f>'h3'!J9</f>
        <v>1</v>
      </c>
      <c r="K76" s="9">
        <f>'h3'!K9</f>
        <v>8</v>
      </c>
      <c r="L76" s="9">
        <f>'h3'!L9</f>
        <v>0</v>
      </c>
      <c r="M76" s="9">
        <f>'h3'!M9</f>
        <v>0</v>
      </c>
      <c r="N76" s="9">
        <f>'h3'!N9</f>
        <v>0</v>
      </c>
      <c r="O76" s="9">
        <f>'h3'!O9</f>
        <v>0</v>
      </c>
      <c r="P76" s="9">
        <f>'h3'!P9</f>
        <v>361</v>
      </c>
      <c r="Q76" s="9">
        <f>'h3'!Q9</f>
        <v>0.20000000000000018</v>
      </c>
      <c r="R76" s="9">
        <f>'h3'!R9</f>
        <v>0.17603238866396786</v>
      </c>
      <c r="S76" s="9">
        <f>'h3'!S9</f>
        <v>0.023967611336032313</v>
      </c>
      <c r="T76" s="9">
        <f>'h3'!T9</f>
        <v>3.4210526315789473</v>
      </c>
      <c r="U76" s="9">
        <f>'h3'!U9</f>
        <v>14.765901524439178</v>
      </c>
      <c r="V76" s="9">
        <f>'h3'!V9</f>
        <v>0</v>
      </c>
      <c r="W76" s="9">
        <f>'h3'!W9</f>
        <v>0</v>
      </c>
      <c r="X76" s="9">
        <f>'h3'!X9</f>
        <v>0</v>
      </c>
      <c r="Y76" s="9">
        <f>'h3'!Y9</f>
        <v>0</v>
      </c>
      <c r="Z76" s="9">
        <f>'h3'!Z9</f>
        <v>0.13615455381784727</v>
      </c>
      <c r="AA76" s="9">
        <f>'h3'!AA9</f>
        <v>123.5</v>
      </c>
      <c r="AB76" s="9">
        <f>'h3'!AB9</f>
        <v>123.5</v>
      </c>
      <c r="AC76" s="9">
        <f>'h3'!AC9</f>
        <v>123.5</v>
      </c>
      <c r="AD76" s="9">
        <f>'h3'!AD9</f>
        <v>123.5</v>
      </c>
      <c r="AE76" s="46" t="s">
        <v>220</v>
      </c>
      <c r="AF76" s="9">
        <v>37.3889805</v>
      </c>
      <c r="AG76" s="9">
        <v>-5.9905273</v>
      </c>
    </row>
    <row r="77">
      <c r="A77" s="10">
        <f>'h3'!A10</f>
        <v>76</v>
      </c>
      <c r="B77" t="str">
        <f>'h3'!B10</f>
        <v>Hotel</v>
      </c>
      <c r="C77" t="str">
        <f>'h3'!C10</f>
        <v>Mercer Hotel Sevilla 5 GI</v>
      </c>
      <c r="D77" t="str">
        <f>'h3'!D10</f>
        <v>Tripadvisor</v>
      </c>
      <c r="E77" s="9">
        <f>'h3'!E10</f>
        <v>226</v>
      </c>
      <c r="F77" s="9">
        <f>'h3'!F10</f>
        <v>647</v>
      </c>
      <c r="G77" s="9">
        <f>'h3'!G10</f>
        <v>4.5</v>
      </c>
      <c r="H77" s="9">
        <f>'h3'!H10</f>
        <v>4.9</v>
      </c>
      <c r="I77" s="9">
        <f>'h3'!I10</f>
        <v>4.796449026345933</v>
      </c>
      <c r="J77" s="9">
        <f>'h3'!J10</f>
        <v>1</v>
      </c>
      <c r="K77" s="9">
        <f>'h3'!K10</f>
        <v>9</v>
      </c>
      <c r="L77" s="9">
        <f>'h3'!L10</f>
        <v>0</v>
      </c>
      <c r="M77" s="9">
        <f>'h3'!M10</f>
        <v>0</v>
      </c>
      <c r="N77" s="9">
        <f>'h3'!N10</f>
        <v>0</v>
      </c>
      <c r="O77" s="9">
        <f>'h3'!O10</f>
        <v>0</v>
      </c>
      <c r="P77" s="9">
        <f>'h3'!P10</f>
        <v>453</v>
      </c>
      <c r="Q77" s="9">
        <f>'h3'!Q10</f>
        <v>0.40000000000000036</v>
      </c>
      <c r="R77" s="9">
        <f>'h3'!R10</f>
        <v>0.2964490263459334</v>
      </c>
      <c r="S77" s="9">
        <f>'h3'!S10</f>
        <v>0.10355097365406696</v>
      </c>
      <c r="T77" s="9">
        <f>'h3'!T10</f>
        <v>1.9271523178807948</v>
      </c>
      <c r="U77" s="9">
        <f>'h3'!U10</f>
        <v>14.106424905691101</v>
      </c>
      <c r="V77" s="9">
        <f>'h3'!V10</f>
        <v>0</v>
      </c>
      <c r="W77" s="9">
        <f>'h3'!W10</f>
        <v>0</v>
      </c>
      <c r="X77" s="9">
        <f>'h3'!X10</f>
        <v>0</v>
      </c>
      <c r="Y77" s="9">
        <f>'h3'!Y10</f>
        <v>0</v>
      </c>
      <c r="Z77" s="9">
        <f>'h3'!Z10</f>
        <v>0.34930448222565685</v>
      </c>
      <c r="AA77" s="9">
        <f>'h3'!AA10</f>
        <v>87.3</v>
      </c>
      <c r="AB77" s="9">
        <f>'h3'!AB10</f>
        <v>87.3</v>
      </c>
      <c r="AC77" s="9">
        <f>'h3'!AC10</f>
        <v>87.3</v>
      </c>
      <c r="AD77" s="9">
        <f>'h3'!AD10</f>
        <v>87.3</v>
      </c>
      <c r="AE77" s="46" t="s">
        <v>220</v>
      </c>
      <c r="AF77" s="9">
        <v>37.3875584</v>
      </c>
      <c r="AG77" s="9">
        <v>-5.997449</v>
      </c>
    </row>
    <row r="78" ht="30.75">
      <c r="A78" s="10">
        <f>'h3'!A11</f>
        <v>77</v>
      </c>
      <c r="B78" t="str">
        <f>'h3'!B11</f>
        <v>Hotel</v>
      </c>
      <c r="C78" t="str">
        <f>'h3'!C11</f>
        <v>Only YOU Hotel Sevilla</v>
      </c>
      <c r="D78" t="str">
        <f>'h3'!D11</f>
        <v>Tripadvisor</v>
      </c>
      <c r="E78" s="9">
        <f>'h3'!E11</f>
        <v>811</v>
      </c>
      <c r="F78" s="9">
        <f>'h3'!F11</f>
        <v>344</v>
      </c>
      <c r="G78" s="9">
        <f>'h3'!G11</f>
        <v>4.7</v>
      </c>
      <c r="H78" s="9">
        <f>'h3'!H11</f>
        <v>4.9</v>
      </c>
      <c r="I78" s="9">
        <f>'h3'!I11</f>
        <v>4.7595670995671</v>
      </c>
      <c r="J78" s="9">
        <f>'h3'!J11</f>
        <v>1</v>
      </c>
      <c r="K78" s="9">
        <f>'h3'!K11</f>
        <v>10</v>
      </c>
      <c r="L78" s="9">
        <f>'h3'!L11</f>
        <v>100</v>
      </c>
      <c r="M78" s="9">
        <f>'h3'!M11</f>
        <v>166</v>
      </c>
      <c r="N78" s="9">
        <f>'h3'!N11</f>
        <v>50</v>
      </c>
      <c r="O78" s="9">
        <f>'h3'!O11</f>
        <v>121.4</v>
      </c>
      <c r="P78" s="9">
        <f>'h3'!P11</f>
        <v>1630</v>
      </c>
      <c r="Q78" s="9">
        <f>'h3'!Q11</f>
        <v>0.20000000000000018</v>
      </c>
      <c r="R78" s="9">
        <f>'h3'!R11</f>
        <v>0.059567099567099824</v>
      </c>
      <c r="S78" s="9">
        <f>'h3'!S11</f>
        <v>0.14043290043290035</v>
      </c>
      <c r="T78" s="9">
        <f>'h3'!T11</f>
        <v>0.7085889570552147</v>
      </c>
      <c r="U78" s="9">
        <f>'h3'!U11</f>
        <v>14.576564451859293</v>
      </c>
      <c r="V78" s="9">
        <f>'h3'!V11</f>
        <v>6.134969325153374</v>
      </c>
      <c r="W78" s="9">
        <f>'h3'!W11</f>
        <v>10.184049079754601</v>
      </c>
      <c r="X78" s="9">
        <f>'h3'!X11</f>
        <v>3.067484662576687</v>
      </c>
      <c r="Y78" s="9">
        <f>'h3'!Y11</f>
        <v>7.447852760736197</v>
      </c>
      <c r="Z78" s="9">
        <f>'h3'!Z11</f>
        <v>2.3575581395348837</v>
      </c>
      <c r="AA78" s="9">
        <f>'h3'!AA11</f>
        <v>0.11538461538461538</v>
      </c>
      <c r="AB78" s="9">
        <f>'h3'!AB11</f>
        <v>0.06953642384105961</v>
      </c>
      <c r="AC78" s="9">
        <f>'h3'!AC11</f>
        <v>0.2305389221556886</v>
      </c>
      <c r="AD78" s="9">
        <f>'h3'!AD11</f>
        <v>0.09506172839506172</v>
      </c>
      <c r="AE78" s="46" t="s">
        <v>222</v>
      </c>
      <c r="AF78" s="9">
        <v>37.3894543</v>
      </c>
      <c r="AG78" s="9">
        <v>-5.9747044</v>
      </c>
    </row>
    <row r="79">
      <c r="A79" s="10">
        <f>'h3'!A12</f>
        <v>78</v>
      </c>
      <c r="B79" t="str">
        <f>'h3'!B12</f>
        <v>Hotel</v>
      </c>
      <c r="C79" t="str">
        <f>'h3'!C12</f>
        <v>Hotel Boutique Casa Del Poeta</v>
      </c>
      <c r="D79" t="str">
        <f>'h3'!D12</f>
        <v>Tripadvisor</v>
      </c>
      <c r="E79" s="9">
        <f>'h3'!E12</f>
        <v>367</v>
      </c>
      <c r="F79" s="9">
        <f>'h3'!F12</f>
        <v>1709</v>
      </c>
      <c r="G79" s="9">
        <f>'h3'!G12</f>
        <v>4.7</v>
      </c>
      <c r="H79" s="9">
        <f>'h3'!H12</f>
        <v>4.9</v>
      </c>
      <c r="I79" s="9">
        <f>'h3'!I12</f>
        <v>4.8646435452793835</v>
      </c>
      <c r="J79" s="9">
        <f>'h3'!J12</f>
        <v>1</v>
      </c>
      <c r="K79" s="9">
        <f>'h3'!K12</f>
        <v>11</v>
      </c>
      <c r="L79" s="9">
        <f>'h3'!L12</f>
        <v>0</v>
      </c>
      <c r="M79" s="9">
        <f>'h3'!M12</f>
        <v>0</v>
      </c>
      <c r="N79" s="9">
        <f>'h3'!N12</f>
        <v>0</v>
      </c>
      <c r="O79" s="9">
        <f>'h3'!O12</f>
        <v>0</v>
      </c>
      <c r="P79" s="9">
        <f>'h3'!P12</f>
        <v>305</v>
      </c>
      <c r="Q79" s="9">
        <f>'h3'!Q12</f>
        <v>0.20000000000000018</v>
      </c>
      <c r="R79" s="9">
        <f>'h3'!R12</f>
        <v>0.1646435452793833</v>
      </c>
      <c r="S79" s="9">
        <f>'h3'!S12</f>
        <v>0.03535645472061688</v>
      </c>
      <c r="T79" s="9">
        <f>'h3'!T12</f>
        <v>6.80655737704918</v>
      </c>
      <c r="U79" s="9">
        <f>'h3'!U12</f>
        <v>16.137128612395312</v>
      </c>
      <c r="V79" s="9">
        <f>'h3'!V12</f>
        <v>0</v>
      </c>
      <c r="W79" s="9">
        <f>'h3'!W12</f>
        <v>0</v>
      </c>
      <c r="X79" s="9">
        <f>'h3'!X12</f>
        <v>0</v>
      </c>
      <c r="Y79" s="9">
        <f>'h3'!Y12</f>
        <v>0</v>
      </c>
      <c r="Z79" s="9">
        <f>'h3'!Z12</f>
        <v>0.2147454651843183</v>
      </c>
      <c r="AA79" s="9">
        <f>'h3'!AA12</f>
        <v>207.6</v>
      </c>
      <c r="AB79" s="9">
        <f>'h3'!AB12</f>
        <v>207.6</v>
      </c>
      <c r="AC79" s="9">
        <f>'h3'!AC12</f>
        <v>207.6</v>
      </c>
      <c r="AD79" s="9">
        <f>'h3'!AD12</f>
        <v>207.6</v>
      </c>
      <c r="AE79" s="46" t="s">
        <v>220</v>
      </c>
      <c r="AF79" s="9">
        <v>37.3863</v>
      </c>
      <c r="AG79" s="9">
        <v>-5.9891472</v>
      </c>
    </row>
    <row r="80">
      <c r="A80" s="10">
        <f>'h3'!A13</f>
        <v>79</v>
      </c>
      <c r="B80" t="str">
        <f>'h3'!B13</f>
        <v>Hotel</v>
      </c>
      <c r="C80" t="str">
        <f>'h3'!C13</f>
        <v>Plácido y Grata Hotel Boutique</v>
      </c>
      <c r="D80" t="str">
        <f>'h3'!D13</f>
        <v>Tripadvisor</v>
      </c>
      <c r="E80" s="9">
        <f>'h3'!E13</f>
        <v>295</v>
      </c>
      <c r="F80" s="9">
        <f>'h3'!F13</f>
        <v>215</v>
      </c>
      <c r="G80" s="9">
        <f>'h3'!G13</f>
        <v>4.5</v>
      </c>
      <c r="H80" s="9">
        <f>'h3'!H13</f>
        <v>4.9</v>
      </c>
      <c r="I80" s="9">
        <f>'h3'!I13</f>
        <v>4.6686274509803924</v>
      </c>
      <c r="J80" s="9">
        <f>'h3'!J13</f>
        <v>1</v>
      </c>
      <c r="K80" s="9">
        <f>'h3'!K13</f>
        <v>12</v>
      </c>
      <c r="L80" s="9">
        <f>'h3'!L13</f>
        <v>0</v>
      </c>
      <c r="M80" s="9">
        <f>'h3'!M13</f>
        <v>0</v>
      </c>
      <c r="N80" s="9">
        <f>'h3'!N13</f>
        <v>0</v>
      </c>
      <c r="O80" s="9">
        <f>'h3'!O13</f>
        <v>0</v>
      </c>
      <c r="P80" s="9">
        <f>'h3'!P13</f>
        <v>801</v>
      </c>
      <c r="Q80" s="9">
        <f>'h3'!Q13</f>
        <v>0.40000000000000036</v>
      </c>
      <c r="R80" s="9">
        <f>'h3'!R13</f>
        <v>0.16862745098039245</v>
      </c>
      <c r="S80" s="9">
        <f>'h3'!S13</f>
        <v>0.2313725490196079</v>
      </c>
      <c r="T80" s="9">
        <f>'h3'!T13</f>
        <v>0.6367041198501873</v>
      </c>
      <c r="U80" s="9">
        <f>'h3'!U13</f>
        <v>12.64063644958664</v>
      </c>
      <c r="V80" s="9">
        <f>'h3'!V13</f>
        <v>0</v>
      </c>
      <c r="W80" s="9">
        <f>'h3'!W13</f>
        <v>0</v>
      </c>
      <c r="X80" s="9">
        <f>'h3'!X13</f>
        <v>0</v>
      </c>
      <c r="Y80" s="9">
        <f>'h3'!Y13</f>
        <v>0</v>
      </c>
      <c r="Z80" s="9">
        <f>'h3'!Z13</f>
        <v>1.372093023255814</v>
      </c>
      <c r="AA80" s="9">
        <f>'h3'!AA13</f>
        <v>51</v>
      </c>
      <c r="AB80" s="9">
        <f>'h3'!AB13</f>
        <v>51</v>
      </c>
      <c r="AC80" s="9">
        <f>'h3'!AC13</f>
        <v>51</v>
      </c>
      <c r="AD80" s="9">
        <f>'h3'!AD13</f>
        <v>51</v>
      </c>
      <c r="AE80" s="46" t="s">
        <v>220</v>
      </c>
      <c r="AF80" s="9">
        <v>37.3923105</v>
      </c>
      <c r="AG80" s="9">
        <v>-5.997421</v>
      </c>
    </row>
    <row r="81" ht="30.75">
      <c r="A81" s="10">
        <f>'h3'!A14</f>
        <v>80</v>
      </c>
      <c r="B81" t="str">
        <f>'h3'!B14</f>
        <v>Hotel</v>
      </c>
      <c r="C81" t="str">
        <f>'h3'!C14</f>
        <v>Hotel Colón Gran Meliá</v>
      </c>
      <c r="D81" t="str">
        <f>'h3'!D14</f>
        <v>Tripadvisor</v>
      </c>
      <c r="E81" s="9">
        <f>'h3'!E14</f>
        <v>2037</v>
      </c>
      <c r="F81" s="9">
        <f>'h3'!F14</f>
        <v>3792</v>
      </c>
      <c r="G81" s="9">
        <f>'h3'!G14</f>
        <v>4.6</v>
      </c>
      <c r="H81" s="9">
        <f>'h3'!H14</f>
        <v>4.6</v>
      </c>
      <c r="I81" s="9">
        <f>'h3'!I14</f>
        <v>4.599999999999999</v>
      </c>
      <c r="J81" s="9">
        <f>'h3'!J14</f>
        <v>1</v>
      </c>
      <c r="K81" s="9">
        <f>'h3'!K14</f>
        <v>13</v>
      </c>
      <c r="L81" s="9">
        <f>'h3'!L14</f>
        <v>0</v>
      </c>
      <c r="M81" s="9">
        <f>'h3'!M14</f>
        <v>25</v>
      </c>
      <c r="N81" s="9">
        <f>'h3'!N14</f>
        <v>0</v>
      </c>
      <c r="O81" s="9">
        <f>'h3'!O14</f>
        <v>10</v>
      </c>
      <c r="P81" s="9">
        <f>'h3'!P14</f>
        <v>740</v>
      </c>
      <c r="Q81" s="9">
        <f>'h3'!Q14</f>
        <v>0</v>
      </c>
      <c r="R81" s="9">
        <f>'h3'!R14</f>
        <v>8.881784197001252E-16</v>
      </c>
      <c r="S81" s="9">
        <f>'h3'!S14</f>
        <v>8.881784197001252E-16</v>
      </c>
      <c r="T81" s="9">
        <f>'h3'!T14</f>
        <v>7.877027027027027</v>
      </c>
      <c r="U81" s="9">
        <f>'h3'!U14</f>
        <v>17.321732654469443</v>
      </c>
      <c r="V81" s="9">
        <f>'h3'!V14</f>
        <v>0</v>
      </c>
      <c r="W81" s="9">
        <f>'h3'!W14</f>
        <v>3.3783783783783785</v>
      </c>
      <c r="X81" s="9">
        <f>'h3'!X14</f>
        <v>0</v>
      </c>
      <c r="Y81" s="9">
        <f>'h3'!Y14</f>
        <v>1.3513513513513513</v>
      </c>
      <c r="Z81" s="9">
        <f>'h3'!Z14</f>
        <v>0.5371835443037974</v>
      </c>
      <c r="AA81" s="9">
        <f>'h3'!AA14</f>
        <v>582.9</v>
      </c>
      <c r="AB81" s="9">
        <f>'h3'!AB14</f>
        <v>2.3223107569721115</v>
      </c>
      <c r="AC81" s="9">
        <f>'h3'!AC14</f>
        <v>582.9</v>
      </c>
      <c r="AD81" s="9">
        <f>'h3'!AD14</f>
        <v>5.7712871287128715</v>
      </c>
      <c r="AE81" s="46" t="s">
        <v>222</v>
      </c>
      <c r="AF81" s="9">
        <v>37.3908999</v>
      </c>
      <c r="AG81" s="9">
        <v>-5.9985</v>
      </c>
    </row>
    <row r="82">
      <c r="A82" s="10">
        <f>'h3'!A15</f>
        <v>81</v>
      </c>
      <c r="B82" t="str">
        <f>'h3'!B15</f>
        <v>Hotel</v>
      </c>
      <c r="C82" t="str">
        <f>'h3'!C15</f>
        <v>Joya Del Casco Boutique Hotel</v>
      </c>
      <c r="D82" t="str">
        <f>'h3'!D15</f>
        <v>Tripadvisor</v>
      </c>
      <c r="E82" s="9">
        <f>'h3'!E15</f>
        <v>398</v>
      </c>
      <c r="F82" s="9">
        <f>'h3'!F15</f>
        <v>363</v>
      </c>
      <c r="G82" s="9">
        <f>'h3'!G15</f>
        <v>4.8</v>
      </c>
      <c r="H82" s="9">
        <f>'h3'!H15</f>
        <v>4.9</v>
      </c>
      <c r="I82" s="9">
        <f>'h3'!I15</f>
        <v>4.847700394218134</v>
      </c>
      <c r="J82" s="9">
        <f>'h3'!J15</f>
        <v>1</v>
      </c>
      <c r="K82" s="9">
        <f>'h3'!K15</f>
        <v>14</v>
      </c>
      <c r="L82" s="9">
        <f>'h3'!L15</f>
        <v>0</v>
      </c>
      <c r="M82" s="9">
        <f>'h3'!M15</f>
        <v>0</v>
      </c>
      <c r="N82" s="9">
        <f>'h3'!N15</f>
        <v>0</v>
      </c>
      <c r="O82" s="9">
        <f>'h3'!O15</f>
        <v>0</v>
      </c>
      <c r="P82" s="9">
        <f>'h3'!P15</f>
        <v>207</v>
      </c>
      <c r="Q82" s="9">
        <f>'h3'!Q15</f>
        <v>0.10000000000000053</v>
      </c>
      <c r="R82" s="9">
        <f>'h3'!R15</f>
        <v>0.047700394218134434</v>
      </c>
      <c r="S82" s="9">
        <f>'h3'!S15</f>
        <v>0.0522996057818661</v>
      </c>
      <c r="T82" s="9">
        <f>'h3'!T15</f>
        <v>3.676328502415459</v>
      </c>
      <c r="U82" s="9">
        <f>'h3'!U15</f>
        <v>13.96808953652079</v>
      </c>
      <c r="V82" s="9">
        <f>'h3'!V15</f>
        <v>0</v>
      </c>
      <c r="W82" s="9">
        <f>'h3'!W15</f>
        <v>0</v>
      </c>
      <c r="X82" s="9">
        <f>'h3'!X15</f>
        <v>0</v>
      </c>
      <c r="Y82" s="9">
        <f>'h3'!Y15</f>
        <v>0</v>
      </c>
      <c r="Z82" s="9">
        <f>'h3'!Z15</f>
        <v>1.0964187327823691</v>
      </c>
      <c r="AA82" s="9">
        <f>'h3'!AA15</f>
        <v>76.1</v>
      </c>
      <c r="AB82" s="9">
        <f>'h3'!AB15</f>
        <v>76.1</v>
      </c>
      <c r="AC82" s="9">
        <f>'h3'!AC15</f>
        <v>76.1</v>
      </c>
      <c r="AD82" s="9">
        <f>'h3'!AD15</f>
        <v>76.1</v>
      </c>
      <c r="AE82" s="46" t="s">
        <v>220</v>
      </c>
      <c r="AF82" s="9">
        <v>37.3878406</v>
      </c>
      <c r="AG82" s="9">
        <v>-5.9916333</v>
      </c>
    </row>
    <row r="83" ht="30.75">
      <c r="A83" s="10">
        <f>'h3'!A16</f>
        <v>82</v>
      </c>
      <c r="B83" t="str">
        <f>'h3'!B16</f>
        <v>Hotel</v>
      </c>
      <c r="C83" t="str">
        <f>'h3'!C16</f>
        <v>Hotel Becquer</v>
      </c>
      <c r="D83" t="str">
        <f>'h3'!D16</f>
        <v>Tripadvisor</v>
      </c>
      <c r="E83" s="9">
        <f>'h3'!E16</f>
        <v>3253</v>
      </c>
      <c r="F83" s="9">
        <f>'h3'!F16</f>
        <v>7509</v>
      </c>
      <c r="G83" s="9">
        <f>'h3'!G16</f>
        <v>4.6</v>
      </c>
      <c r="H83" s="9">
        <f>'h3'!H16</f>
        <v>4.5</v>
      </c>
      <c r="I83" s="9">
        <f>'h3'!I16</f>
        <v>4.530226723657313</v>
      </c>
      <c r="J83" s="9">
        <f>'h3'!J16</f>
        <v>1</v>
      </c>
      <c r="K83" s="9">
        <f>'h3'!K16</f>
        <v>15</v>
      </c>
      <c r="L83" s="9">
        <f>'h3'!L16</f>
        <v>0</v>
      </c>
      <c r="M83" s="9">
        <f>'h3'!M16</f>
        <v>20</v>
      </c>
      <c r="N83" s="9">
        <f>'h3'!N16</f>
        <v>0</v>
      </c>
      <c r="O83" s="9">
        <f>'h3'!O16</f>
        <v>8</v>
      </c>
      <c r="P83" s="9">
        <f>'h3'!P16</f>
        <v>732</v>
      </c>
      <c r="Q83" s="9">
        <f>'h3'!Q16</f>
        <v>0.09999999999999964</v>
      </c>
      <c r="R83" s="9">
        <f>'h3'!R16</f>
        <v>0.06977327634268704</v>
      </c>
      <c r="S83" s="9">
        <f>'h3'!S16</f>
        <v>0.030226723657312604</v>
      </c>
      <c r="T83" s="9">
        <f>'h3'!T16</f>
        <v>14.702185792349727</v>
      </c>
      <c r="U83" s="9">
        <f>'h3'!U16</f>
        <v>18.26538935985252</v>
      </c>
      <c r="V83" s="9">
        <f>'h3'!V16</f>
        <v>0</v>
      </c>
      <c r="W83" s="9">
        <f>'h3'!W16</f>
        <v>2.73224043715847</v>
      </c>
      <c r="X83" s="9">
        <f>'h3'!X16</f>
        <v>0</v>
      </c>
      <c r="Y83" s="9">
        <f>'h3'!Y16</f>
        <v>1.092896174863388</v>
      </c>
      <c r="Z83" s="9">
        <f>'h3'!Z16</f>
        <v>0.43321347716074043</v>
      </c>
      <c r="AA83" s="9">
        <f>'h3'!AA16</f>
        <v>1076.2</v>
      </c>
      <c r="AB83" s="9">
        <f>'h3'!AB16</f>
        <v>5.354228855721393</v>
      </c>
      <c r="AC83" s="9">
        <f>'h3'!AC16</f>
        <v>1076.2</v>
      </c>
      <c r="AD83" s="9">
        <f>'h3'!AD16</f>
        <v>13.28641975308642</v>
      </c>
      <c r="AE83" s="46" t="s">
        <v>222</v>
      </c>
      <c r="AF83" s="9">
        <v>37.3890659</v>
      </c>
      <c r="AG83" s="9">
        <v>-6.0000909</v>
      </c>
    </row>
    <row r="84" ht="30.75">
      <c r="A84" s="10">
        <f>'h3'!A17</f>
        <v>83</v>
      </c>
      <c r="B84" t="str">
        <f>'h3'!B17</f>
        <v>Hotel</v>
      </c>
      <c r="C84" t="str">
        <f>'h3'!C17</f>
        <v>Vincci Selección Unuk</v>
      </c>
      <c r="D84" t="str">
        <f>'h3'!D17</f>
        <v>Tripadvisor</v>
      </c>
      <c r="E84" s="9">
        <f>'h3'!E17</f>
        <v>472</v>
      </c>
      <c r="F84" s="9">
        <f>'h3'!F17</f>
        <v>439</v>
      </c>
      <c r="G84" s="9">
        <f>'h3'!G17</f>
        <v>4.7</v>
      </c>
      <c r="H84" s="9">
        <f>'h3'!H17</f>
        <v>4.8</v>
      </c>
      <c r="I84" s="9">
        <f>'h3'!I17</f>
        <v>4.748188803512624</v>
      </c>
      <c r="J84" s="9">
        <f>'h3'!J17</f>
        <v>1</v>
      </c>
      <c r="K84" s="9">
        <f>'h3'!K17</f>
        <v>16</v>
      </c>
      <c r="L84" s="9">
        <f>'h3'!L17</f>
        <v>0</v>
      </c>
      <c r="M84" s="9">
        <f>'h3'!M17</f>
        <v>0</v>
      </c>
      <c r="N84" s="9">
        <f>'h3'!N17</f>
        <v>16</v>
      </c>
      <c r="O84" s="9">
        <f>'h3'!O17</f>
        <v>1.6</v>
      </c>
      <c r="P84" s="9">
        <f>'h3'!P17</f>
        <v>623</v>
      </c>
      <c r="Q84" s="9">
        <f>'h3'!Q17</f>
        <v>0.09999999999999964</v>
      </c>
      <c r="R84" s="9">
        <f>'h3'!R17</f>
        <v>0.04818880351262411</v>
      </c>
      <c r="S84" s="9">
        <f>'h3'!S17</f>
        <v>0.05181119648737553</v>
      </c>
      <c r="T84" s="9">
        <f>'h3'!T17</f>
        <v>1.4622792937399678</v>
      </c>
      <c r="U84" s="9">
        <f>'h3'!U17</f>
        <v>14.052352021333045</v>
      </c>
      <c r="V84" s="9">
        <f>'h3'!V17</f>
        <v>0</v>
      </c>
      <c r="W84" s="9">
        <f>'h3'!W17</f>
        <v>0</v>
      </c>
      <c r="X84" s="9">
        <f>'h3'!X17</f>
        <v>2.568218298555377</v>
      </c>
      <c r="Y84" s="9">
        <f>'h3'!Y17</f>
        <v>0.2568218298555377</v>
      </c>
      <c r="Z84" s="9">
        <f>'h3'!Z17</f>
        <v>1.0751708428246014</v>
      </c>
      <c r="AA84" s="9">
        <f>'h3'!AA17</f>
        <v>91.1</v>
      </c>
      <c r="AB84" s="9">
        <f>'h3'!AB17</f>
        <v>91.1</v>
      </c>
      <c r="AC84" s="9">
        <f>'h3'!AC17</f>
        <v>0.5658385093167702</v>
      </c>
      <c r="AD84" s="9">
        <f>'h3'!AD17</f>
        <v>5.358823529411764</v>
      </c>
      <c r="AE84" s="46" t="s">
        <v>223</v>
      </c>
      <c r="AF84" s="9">
        <v>37.391568</v>
      </c>
      <c r="AG84" s="9">
        <v>-5.9906538</v>
      </c>
    </row>
    <row r="85">
      <c r="A85" s="10">
        <f>'h3'!A18</f>
        <v>84</v>
      </c>
      <c r="B85" t="str">
        <f>'h3'!B18</f>
        <v>Hotel</v>
      </c>
      <c r="C85" t="str">
        <f>'h3'!C18</f>
        <v>Hotel Posada del Lucero</v>
      </c>
      <c r="D85" t="str">
        <f>'h3'!D18</f>
        <v>Tripadvisor</v>
      </c>
      <c r="E85" s="9">
        <f>'h3'!E18</f>
        <v>992</v>
      </c>
      <c r="F85" s="9">
        <f>'h3'!F18</f>
        <v>1609</v>
      </c>
      <c r="G85" s="9">
        <f>'h3'!G18</f>
        <v>4.7</v>
      </c>
      <c r="H85" s="9">
        <f>'h3'!H18</f>
        <v>4.5</v>
      </c>
      <c r="I85" s="9">
        <f>'h3'!I18</f>
        <v>4.576278354479047</v>
      </c>
      <c r="J85" s="9">
        <f>'h3'!J18</f>
        <v>1</v>
      </c>
      <c r="K85" s="9">
        <f>'h3'!K18</f>
        <v>17</v>
      </c>
      <c r="L85" s="9">
        <f>'h3'!L18</f>
        <v>0</v>
      </c>
      <c r="M85" s="9">
        <f>'h3'!M18</f>
        <v>0</v>
      </c>
      <c r="N85" s="9">
        <f>'h3'!N18</f>
        <v>0</v>
      </c>
      <c r="O85" s="9">
        <f>'h3'!O18</f>
        <v>0</v>
      </c>
      <c r="P85" s="9">
        <f>'h3'!P18</f>
        <v>799</v>
      </c>
      <c r="Q85" s="9">
        <f>'h3'!Q18</f>
        <v>0.20000000000000018</v>
      </c>
      <c r="R85" s="9">
        <f>'h3'!R18</f>
        <v>0.12372164552095288</v>
      </c>
      <c r="S85" s="9">
        <f>'h3'!S18</f>
        <v>0.0762783544790473</v>
      </c>
      <c r="T85" s="9">
        <f>'h3'!T18</f>
        <v>3.25531914893617</v>
      </c>
      <c r="U85" s="9">
        <f>'h3'!U18</f>
        <v>15.628632871261921</v>
      </c>
      <c r="V85" s="9">
        <f>'h3'!V18</f>
        <v>0</v>
      </c>
      <c r="W85" s="9">
        <f>'h3'!W18</f>
        <v>0</v>
      </c>
      <c r="X85" s="9">
        <f>'h3'!X18</f>
        <v>0</v>
      </c>
      <c r="Y85" s="9">
        <f>'h3'!Y18</f>
        <v>0</v>
      </c>
      <c r="Z85" s="9">
        <f>'h3'!Z18</f>
        <v>0.6165320074580485</v>
      </c>
      <c r="AA85" s="9">
        <f>'h3'!AA18</f>
        <v>260.1</v>
      </c>
      <c r="AB85" s="9">
        <f>'h3'!AB18</f>
        <v>260.1</v>
      </c>
      <c r="AC85" s="9">
        <f>'h3'!AC18</f>
        <v>260.1</v>
      </c>
      <c r="AD85" s="9">
        <f>'h3'!AD18</f>
        <v>260.1</v>
      </c>
      <c r="AE85" s="46" t="s">
        <v>220</v>
      </c>
      <c r="AF85" s="9">
        <v>37.3927705</v>
      </c>
      <c r="AG85" s="9">
        <v>-5.9890935</v>
      </c>
    </row>
    <row r="86">
      <c r="A86" s="10">
        <f>'h3'!A19</f>
        <v>85</v>
      </c>
      <c r="B86" t="str">
        <f>'h3'!B19</f>
        <v>Hotel</v>
      </c>
      <c r="C86" t="str">
        <f>'h3'!C19</f>
        <v>Hotel Giralda Center</v>
      </c>
      <c r="D86" t="str">
        <f>'h3'!D19</f>
        <v>Tripadvisor</v>
      </c>
      <c r="E86" s="9">
        <f>'h3'!E19</f>
        <v>1322</v>
      </c>
      <c r="F86" s="9">
        <f>'h3'!F19</f>
        <v>598</v>
      </c>
      <c r="G86" s="9">
        <f>'h3'!G19</f>
        <v>4.6</v>
      </c>
      <c r="H86" s="9">
        <f>'h3'!H19</f>
        <v>4.7</v>
      </c>
      <c r="I86" s="9">
        <f>'h3'!I19</f>
        <v>4.631145833333333</v>
      </c>
      <c r="J86" s="9">
        <f>'h3'!J19</f>
        <v>1</v>
      </c>
      <c r="K86" s="9">
        <f>'h3'!K19</f>
        <v>18</v>
      </c>
      <c r="L86" s="9">
        <f>'h3'!L19</f>
        <v>0</v>
      </c>
      <c r="M86" s="9">
        <f>'h3'!M19</f>
        <v>0</v>
      </c>
      <c r="N86" s="9">
        <f>'h3'!N19</f>
        <v>0</v>
      </c>
      <c r="O86" s="9">
        <f>'h3'!O19</f>
        <v>0</v>
      </c>
      <c r="P86" s="9">
        <f>'h3'!P19</f>
        <v>1010</v>
      </c>
      <c r="Q86" s="9">
        <f>'h3'!Q19</f>
        <v>0.10000000000000053</v>
      </c>
      <c r="R86" s="9">
        <f>'h3'!R19</f>
        <v>0.031145833333333428</v>
      </c>
      <c r="S86" s="9">
        <f>'h3'!S19</f>
        <v>0.0688541666666671</v>
      </c>
      <c r="T86" s="9">
        <f>'h3'!T19</f>
        <v>1.900990099009901</v>
      </c>
      <c r="U86" s="9">
        <f>'h3'!U19</f>
        <v>15.205446804888657</v>
      </c>
      <c r="V86" s="9">
        <f>'h3'!V19</f>
        <v>0</v>
      </c>
      <c r="W86" s="9">
        <f>'h3'!W19</f>
        <v>0</v>
      </c>
      <c r="X86" s="9">
        <f>'h3'!X19</f>
        <v>0</v>
      </c>
      <c r="Y86" s="9">
        <f>'h3'!Y19</f>
        <v>0</v>
      </c>
      <c r="Z86" s="9">
        <f>'h3'!Z19</f>
        <v>2.210702341137124</v>
      </c>
      <c r="AA86" s="9">
        <f>'h3'!AA19</f>
        <v>192</v>
      </c>
      <c r="AB86" s="9">
        <f>'h3'!AB19</f>
        <v>192</v>
      </c>
      <c r="AC86" s="9">
        <f>'h3'!AC19</f>
        <v>192</v>
      </c>
      <c r="AD86" s="9">
        <f>'h3'!AD19</f>
        <v>192</v>
      </c>
      <c r="AE86" s="46" t="s">
        <v>220</v>
      </c>
      <c r="AF86" s="9">
        <v>37.3809891</v>
      </c>
      <c r="AG86" s="9">
        <v>-5.9831271</v>
      </c>
    </row>
    <row r="87">
      <c r="A87" s="10">
        <f>'h3'!A20</f>
        <v>86</v>
      </c>
      <c r="B87" t="str">
        <f>'h3'!B20</f>
        <v>Hotel</v>
      </c>
      <c r="C87" t="str">
        <f>'h3'!C20</f>
        <v>Legado Alcazar</v>
      </c>
      <c r="D87" t="str">
        <f>'h3'!D20</f>
        <v>Tripadvisor</v>
      </c>
      <c r="E87" s="9">
        <f>'h3'!E20</f>
        <v>321</v>
      </c>
      <c r="F87" s="9">
        <f>'h3'!F20</f>
        <v>335</v>
      </c>
      <c r="G87" s="9">
        <f>'h3'!G20</f>
        <v>4.7</v>
      </c>
      <c r="H87" s="9">
        <f>'h3'!H20</f>
        <v>4.8</v>
      </c>
      <c r="I87" s="9">
        <f>'h3'!I20</f>
        <v>4.751067073170732</v>
      </c>
      <c r="J87" s="9">
        <f>'h3'!J20</f>
        <v>1</v>
      </c>
      <c r="K87" s="9">
        <f>'h3'!K20</f>
        <v>19</v>
      </c>
      <c r="L87" s="9">
        <f>'h3'!L20</f>
        <v>0</v>
      </c>
      <c r="M87" s="9">
        <f>'h3'!M20</f>
        <v>0</v>
      </c>
      <c r="N87" s="9">
        <f>'h3'!N20</f>
        <v>0</v>
      </c>
      <c r="O87" s="9">
        <f>'h3'!O20</f>
        <v>0</v>
      </c>
      <c r="P87" s="9">
        <f>'h3'!P20</f>
        <v>346</v>
      </c>
      <c r="Q87" s="9">
        <f>'h3'!Q20</f>
        <v>0.09999999999999964</v>
      </c>
      <c r="R87" s="9">
        <f>'h3'!R20</f>
        <v>0.05106707317073145</v>
      </c>
      <c r="S87" s="9">
        <f>'h3'!S20</f>
        <v>0.0489329268292682</v>
      </c>
      <c r="T87" s="9">
        <f>'h3'!T20</f>
        <v>1.8959537572254335</v>
      </c>
      <c r="U87" s="9">
        <f>'h3'!U20</f>
        <v>13.383299079545916</v>
      </c>
      <c r="V87" s="9">
        <f>'h3'!V20</f>
        <v>0</v>
      </c>
      <c r="W87" s="9">
        <f>'h3'!W20</f>
        <v>0</v>
      </c>
      <c r="X87" s="9">
        <f>'h3'!X20</f>
        <v>0</v>
      </c>
      <c r="Y87" s="9">
        <f>'h3'!Y20</f>
        <v>0</v>
      </c>
      <c r="Z87" s="9">
        <f>'h3'!Z20</f>
        <v>0.9582089552238806</v>
      </c>
      <c r="AA87" s="9">
        <f>'h3'!AA20</f>
        <v>65.6</v>
      </c>
      <c r="AB87" s="9">
        <f>'h3'!AB20</f>
        <v>65.6</v>
      </c>
      <c r="AC87" s="9">
        <f>'h3'!AC20</f>
        <v>65.6</v>
      </c>
      <c r="AD87" s="9">
        <f>'h3'!AD20</f>
        <v>65.6</v>
      </c>
      <c r="AE87" s="46" t="s">
        <v>220</v>
      </c>
      <c r="AF87" s="9">
        <v>37.3830852</v>
      </c>
      <c r="AG87" s="9">
        <v>-5.9920571</v>
      </c>
    </row>
    <row r="88">
      <c r="A88" s="10">
        <f>'h3'!A21</f>
        <v>87</v>
      </c>
      <c r="B88" t="str">
        <f>'h3'!B21</f>
        <v>Hotel</v>
      </c>
      <c r="C88" t="str">
        <f>'h3'!C21</f>
        <v>Hospes Las Casas del Rey de Baeza</v>
      </c>
      <c r="D88" t="str">
        <f>'h3'!D21</f>
        <v>Tripadvisor</v>
      </c>
      <c r="E88" s="9">
        <f>'h3'!E21</f>
        <v>977</v>
      </c>
      <c r="F88" s="9">
        <f>'h3'!F21</f>
        <v>1597</v>
      </c>
      <c r="G88" s="9">
        <f>'h3'!G21</f>
        <v>4.6</v>
      </c>
      <c r="H88" s="9">
        <f>'h3'!H21</f>
        <v>4.4</v>
      </c>
      <c r="I88" s="9">
        <f>'h3'!I21</f>
        <v>4.475912975912976</v>
      </c>
      <c r="J88" s="9">
        <f>'h3'!J21</f>
        <v>1</v>
      </c>
      <c r="K88" s="9">
        <f>'h3'!K21</f>
        <v>20</v>
      </c>
      <c r="L88" s="9">
        <f>'h3'!L21</f>
        <v>0</v>
      </c>
      <c r="M88" s="9">
        <f>'h3'!M21</f>
        <v>0</v>
      </c>
      <c r="N88" s="9">
        <f>'h3'!N21</f>
        <v>0</v>
      </c>
      <c r="O88" s="9">
        <f>'h3'!O21</f>
        <v>0</v>
      </c>
      <c r="P88" s="9">
        <f>'h3'!P21</f>
        <v>778</v>
      </c>
      <c r="Q88" s="9">
        <f>'h3'!Q21</f>
        <v>0.1999999999999993</v>
      </c>
      <c r="R88" s="9">
        <f>'h3'!R21</f>
        <v>0.12408702408702332</v>
      </c>
      <c r="S88" s="9">
        <f>'h3'!S21</f>
        <v>0.07591297591297597</v>
      </c>
      <c r="T88" s="9">
        <f>'h3'!T21</f>
        <v>3.308483290488432</v>
      </c>
      <c r="U88" s="9">
        <f>'h3'!U21</f>
        <v>15.265587031441402</v>
      </c>
      <c r="V88" s="9">
        <f>'h3'!V21</f>
        <v>0</v>
      </c>
      <c r="W88" s="9">
        <f>'h3'!W21</f>
        <v>0</v>
      </c>
      <c r="X88" s="9">
        <f>'h3'!X21</f>
        <v>0</v>
      </c>
      <c r="Y88" s="9">
        <f>'h3'!Y21</f>
        <v>0</v>
      </c>
      <c r="Z88" s="9">
        <f>'h3'!Z21</f>
        <v>0.6117720726361928</v>
      </c>
      <c r="AA88" s="9">
        <f>'h3'!AA21</f>
        <v>257.4</v>
      </c>
      <c r="AB88" s="9">
        <f>'h3'!AB21</f>
        <v>257.4</v>
      </c>
      <c r="AC88" s="9">
        <f>'h3'!AC21</f>
        <v>257.4</v>
      </c>
      <c r="AD88" s="9">
        <f>'h3'!AD21</f>
        <v>257.4</v>
      </c>
      <c r="AE88" s="46" t="s">
        <v>220</v>
      </c>
      <c r="AF88" s="9">
        <v>37.3913962</v>
      </c>
      <c r="AG88" s="9">
        <v>-5.9867537</v>
      </c>
    </row>
    <row r="89">
      <c r="A89" s="10">
        <f>'h3'!A22</f>
        <v>88</v>
      </c>
      <c r="B89" t="str">
        <f>'h3'!B22</f>
        <v>Hotel</v>
      </c>
      <c r="C89" t="str">
        <f>'h3'!C22</f>
        <v>Hotel Vincci Molviedro</v>
      </c>
      <c r="D89" t="str">
        <f>'h3'!D22</f>
        <v>Tripadvisor</v>
      </c>
      <c r="E89" s="9">
        <f>'h3'!E22</f>
        <v>718</v>
      </c>
      <c r="F89" s="9">
        <f>'h3'!F22</f>
        <v>522</v>
      </c>
      <c r="G89" s="9">
        <f>'h3'!G22</f>
        <v>4.8</v>
      </c>
      <c r="H89" s="9">
        <f>'h3'!H22</f>
        <v>4.8</v>
      </c>
      <c r="I89" s="9">
        <f>'h3'!I22</f>
        <v>4.8</v>
      </c>
      <c r="J89" s="9">
        <f>'h3'!J22</f>
        <v>1</v>
      </c>
      <c r="K89" s="9">
        <f>'h3'!K22</f>
        <v>21</v>
      </c>
      <c r="L89" s="9">
        <f>'h3'!L22</f>
        <v>0</v>
      </c>
      <c r="M89" s="9">
        <f>'h3'!M22</f>
        <v>0</v>
      </c>
      <c r="N89" s="9">
        <f>'h3'!N22</f>
        <v>0</v>
      </c>
      <c r="O89" s="9">
        <f>'h3'!O22</f>
        <v>0</v>
      </c>
      <c r="P89" s="9">
        <f>'h3'!P22</f>
        <v>527</v>
      </c>
      <c r="Q89" s="9">
        <f>'h3'!Q22</f>
        <v>0</v>
      </c>
      <c r="R89" s="9">
        <f>'h3'!R22</f>
        <v>0</v>
      </c>
      <c r="S89" s="9">
        <f>'h3'!S22</f>
        <v>0</v>
      </c>
      <c r="T89" s="9">
        <f>'h3'!T22</f>
        <v>2.3529411764705883</v>
      </c>
      <c r="U89" s="9">
        <f>'h3'!U22</f>
        <v>14.848424088778728</v>
      </c>
      <c r="V89" s="9">
        <f>'h3'!V22</f>
        <v>0</v>
      </c>
      <c r="W89" s="9">
        <f>'h3'!W22</f>
        <v>0</v>
      </c>
      <c r="X89" s="9">
        <f>'h3'!X22</f>
        <v>0</v>
      </c>
      <c r="Y89" s="9">
        <f>'h3'!Y22</f>
        <v>0</v>
      </c>
      <c r="Z89" s="9">
        <f>'h3'!Z22</f>
        <v>1.3754789272030652</v>
      </c>
      <c r="AA89" s="9">
        <f>'h3'!AA22</f>
        <v>124</v>
      </c>
      <c r="AB89" s="9">
        <f>'h3'!AB22</f>
        <v>124</v>
      </c>
      <c r="AC89" s="9">
        <f>'h3'!AC22</f>
        <v>124</v>
      </c>
      <c r="AD89" s="9">
        <f>'h3'!AD22</f>
        <v>124</v>
      </c>
      <c r="AE89" s="46" t="s">
        <v>220</v>
      </c>
      <c r="AF89" s="9">
        <v>37.387946</v>
      </c>
      <c r="AG89" s="9">
        <v>-5.998168</v>
      </c>
    </row>
    <row r="90">
      <c r="A90" s="10">
        <f>'h3'!A23</f>
        <v>89</v>
      </c>
      <c r="B90" t="str">
        <f>'h3'!B23</f>
        <v>Hotel</v>
      </c>
      <c r="C90" t="str">
        <f>'h3'!C23</f>
        <v>El Rey Moro Hotel Boutique</v>
      </c>
      <c r="D90" t="str">
        <f>'h3'!D23</f>
        <v>Tripadvisor</v>
      </c>
      <c r="E90" s="9">
        <f>'h3'!E23</f>
        <v>556</v>
      </c>
      <c r="F90" s="9">
        <f>'h3'!F23</f>
        <v>2438</v>
      </c>
      <c r="G90" s="9">
        <f>'h3'!G23</f>
        <v>4.7</v>
      </c>
      <c r="H90" s="9">
        <f>'h3'!H23</f>
        <v>4.6</v>
      </c>
      <c r="I90" s="9">
        <f>'h3'!I23</f>
        <v>4.618570474281897</v>
      </c>
      <c r="J90" s="9">
        <f>'h3'!J23</f>
        <v>1</v>
      </c>
      <c r="K90" s="9">
        <f>'h3'!K23</f>
        <v>22</v>
      </c>
      <c r="L90" s="9">
        <f>'h3'!L23</f>
        <v>0</v>
      </c>
      <c r="M90" s="9">
        <f>'h3'!M23</f>
        <v>0</v>
      </c>
      <c r="N90" s="9">
        <f>'h3'!N23</f>
        <v>0</v>
      </c>
      <c r="O90" s="9">
        <f>'h3'!O23</f>
        <v>0</v>
      </c>
      <c r="P90" s="9">
        <f>'h3'!P23</f>
        <v>266</v>
      </c>
      <c r="Q90" s="9">
        <f>'h3'!Q23</f>
        <v>0.10000000000000053</v>
      </c>
      <c r="R90" s="9">
        <f>'h3'!R23</f>
        <v>0.0814295257181028</v>
      </c>
      <c r="S90" s="9">
        <f>'h3'!S23</f>
        <v>0.01857047428189773</v>
      </c>
      <c r="T90" s="9">
        <f>'h3'!T23</f>
        <v>11.25563909774436</v>
      </c>
      <c r="U90" s="9">
        <f>'h3'!U23</f>
        <v>16.055313906207502</v>
      </c>
      <c r="V90" s="9">
        <f>'h3'!V23</f>
        <v>0</v>
      </c>
      <c r="W90" s="9">
        <f>'h3'!W23</f>
        <v>0</v>
      </c>
      <c r="X90" s="9">
        <f>'h3'!X23</f>
        <v>0</v>
      </c>
      <c r="Y90" s="9">
        <f>'h3'!Y23</f>
        <v>0</v>
      </c>
      <c r="Z90" s="9">
        <f>'h3'!Z23</f>
        <v>0.2280557834290402</v>
      </c>
      <c r="AA90" s="9">
        <f>'h3'!AA23</f>
        <v>299.4</v>
      </c>
      <c r="AB90" s="9">
        <f>'h3'!AB23</f>
        <v>299.4</v>
      </c>
      <c r="AC90" s="9">
        <f>'h3'!AC23</f>
        <v>299.4</v>
      </c>
      <c r="AD90" s="9">
        <f>'h3'!AD23</f>
        <v>299.4</v>
      </c>
      <c r="AE90" s="46" t="s">
        <v>220</v>
      </c>
      <c r="AF90" s="9">
        <v>37.3853177</v>
      </c>
      <c r="AG90" s="9">
        <v>-5.9898143</v>
      </c>
    </row>
    <row r="91" ht="30.75">
      <c r="A91" s="10">
        <f>'h3'!A24</f>
        <v>90</v>
      </c>
      <c r="B91" t="str">
        <f>'h3'!B24</f>
        <v>Hotel</v>
      </c>
      <c r="C91" t="str">
        <f>'h3'!C24</f>
        <v>Hotel Monte Carmelo</v>
      </c>
      <c r="D91" t="str">
        <f>'h3'!D24</f>
        <v>Tripadvisor</v>
      </c>
      <c r="E91" s="9">
        <f>'h3'!E24</f>
        <v>1146</v>
      </c>
      <c r="F91" s="9">
        <f>'h3'!F24</f>
        <v>1252</v>
      </c>
      <c r="G91" s="9">
        <f>'h3'!G24</f>
        <v>4.6</v>
      </c>
      <c r="H91" s="9">
        <f>'h3'!H24</f>
        <v>4.6</v>
      </c>
      <c r="I91" s="9">
        <f>'h3'!I24</f>
        <v>4.6</v>
      </c>
      <c r="J91" s="9">
        <f>'h3'!J24</f>
        <v>1</v>
      </c>
      <c r="K91" s="9">
        <f>'h3'!K24</f>
        <v>23</v>
      </c>
      <c r="L91" s="9">
        <f>'h3'!L24</f>
        <v>0</v>
      </c>
      <c r="M91" s="9">
        <f>'h3'!M24</f>
        <v>20</v>
      </c>
      <c r="N91" s="9">
        <f>'h3'!N24</f>
        <v>0</v>
      </c>
      <c r="O91" s="9">
        <f>'h3'!O24</f>
        <v>8</v>
      </c>
      <c r="P91" s="9">
        <f>'h3'!P24</f>
        <v>1120</v>
      </c>
      <c r="Q91" s="9">
        <f>'h3'!Q24</f>
        <v>0</v>
      </c>
      <c r="R91" s="9">
        <f>'h3'!R24</f>
        <v>0</v>
      </c>
      <c r="S91" s="9">
        <f>'h3'!S24</f>
        <v>0</v>
      </c>
      <c r="T91" s="9">
        <f>'h3'!T24</f>
        <v>2.1410714285714287</v>
      </c>
      <c r="U91" s="9">
        <f>'h3'!U24</f>
        <v>15.547306222309016</v>
      </c>
      <c r="V91" s="9">
        <f>'h3'!V24</f>
        <v>0</v>
      </c>
      <c r="W91" s="9">
        <f>'h3'!W24</f>
        <v>1.7857142857142856</v>
      </c>
      <c r="X91" s="9">
        <f>'h3'!X24</f>
        <v>0</v>
      </c>
      <c r="Y91" s="9">
        <f>'h3'!Y24</f>
        <v>0.7142857142857143</v>
      </c>
      <c r="Z91" s="9">
        <f>'h3'!Z24</f>
        <v>0.9153354632587859</v>
      </c>
      <c r="AA91" s="9">
        <f>'h3'!AA24</f>
        <v>239.8</v>
      </c>
      <c r="AB91" s="9">
        <f>'h3'!AB24</f>
        <v>1.1930348258706467</v>
      </c>
      <c r="AC91" s="9">
        <f>'h3'!AC24</f>
        <v>239.8</v>
      </c>
      <c r="AD91" s="9">
        <f>'h3'!AD24</f>
        <v>2.9604938271604944</v>
      </c>
      <c r="AE91" s="46" t="s">
        <v>222</v>
      </c>
      <c r="AF91" s="9">
        <v>37.3766713</v>
      </c>
      <c r="AG91" s="9">
        <v>-5.9970337</v>
      </c>
    </row>
    <row r="92">
      <c r="A92" s="10">
        <f>'h3'!A25</f>
        <v>91</v>
      </c>
      <c r="B92" t="str">
        <f>'h3'!B25</f>
        <v>Hotel</v>
      </c>
      <c r="C92" t="str">
        <f>'h3'!C25</f>
        <v>Hotel Adriano Sevilla</v>
      </c>
      <c r="D92" t="str">
        <f>'h3'!D25</f>
        <v>Tripadvisor</v>
      </c>
      <c r="E92" s="9">
        <f>'h3'!E25</f>
        <v>749</v>
      </c>
      <c r="F92" s="9">
        <f>'h3'!F25</f>
        <v>1692</v>
      </c>
      <c r="G92" s="9">
        <f>'h3'!G25</f>
        <v>4.3</v>
      </c>
      <c r="H92" s="9">
        <f>'h3'!H25</f>
        <v>4.6</v>
      </c>
      <c r="I92" s="9">
        <f>'h3'!I25</f>
        <v>4.507947562474396</v>
      </c>
      <c r="J92" s="9">
        <f>'h3'!J25</f>
        <v>1</v>
      </c>
      <c r="K92" s="9">
        <f>'h3'!K25</f>
        <v>24</v>
      </c>
      <c r="L92" s="9">
        <f>'h3'!L25</f>
        <v>0</v>
      </c>
      <c r="M92" s="9">
        <f>'h3'!M25</f>
        <v>0</v>
      </c>
      <c r="N92" s="9">
        <f>'h3'!N25</f>
        <v>0</v>
      </c>
      <c r="O92" s="9">
        <f>'h3'!O25</f>
        <v>0</v>
      </c>
      <c r="P92" s="9">
        <f>'h3'!P25</f>
        <v>406</v>
      </c>
      <c r="Q92" s="9">
        <f>'h3'!Q25</f>
        <v>0.2999999999999998</v>
      </c>
      <c r="R92" s="9">
        <f>'h3'!R25</f>
        <v>0.20794756247439583</v>
      </c>
      <c r="S92" s="9">
        <f>'h3'!S25</f>
        <v>0.09205243752560399</v>
      </c>
      <c r="T92" s="9">
        <f>'h3'!T25</f>
        <v>6.012315270935961</v>
      </c>
      <c r="U92" s="9">
        <f>'h3'!U25</f>
        <v>15.270977913940518</v>
      </c>
      <c r="V92" s="9">
        <f>'h3'!V25</f>
        <v>0</v>
      </c>
      <c r="W92" s="9">
        <f>'h3'!W25</f>
        <v>0</v>
      </c>
      <c r="X92" s="9">
        <f>'h3'!X25</f>
        <v>0</v>
      </c>
      <c r="Y92" s="9">
        <f>'h3'!Y25</f>
        <v>0</v>
      </c>
      <c r="Z92" s="9">
        <f>'h3'!Z25</f>
        <v>0.4426713947990544</v>
      </c>
      <c r="AA92" s="9">
        <f>'h3'!AA25</f>
        <v>244.1</v>
      </c>
      <c r="AB92" s="9">
        <f>'h3'!AB25</f>
        <v>244.1</v>
      </c>
      <c r="AC92" s="9">
        <f>'h3'!AC25</f>
        <v>244.1</v>
      </c>
      <c r="AD92" s="9">
        <f>'h3'!AD25</f>
        <v>244.1</v>
      </c>
      <c r="AE92" s="46" t="s">
        <v>220</v>
      </c>
      <c r="AF92" s="9">
        <v>37.3865169</v>
      </c>
      <c r="AG92" s="9">
        <v>-5.997201</v>
      </c>
    </row>
    <row r="93" ht="30.75">
      <c r="A93" s="10">
        <f>'h3'!A26</f>
        <v>92</v>
      </c>
      <c r="B93" t="str">
        <f>'h3'!B26</f>
        <v>Hotel</v>
      </c>
      <c r="C93" t="str">
        <f>'h3'!C26</f>
        <v>Hesperia Sevilla</v>
      </c>
      <c r="D93" t="str">
        <f>'h3'!D26</f>
        <v>Tripadvisor</v>
      </c>
      <c r="E93" s="9">
        <f>'h3'!E26</f>
        <v>4046</v>
      </c>
      <c r="F93" s="9">
        <f>'h3'!F26</f>
        <v>286</v>
      </c>
      <c r="G93" s="9">
        <f>'h3'!G26</f>
        <v>4.3</v>
      </c>
      <c r="H93" s="9">
        <f>'h3'!H26</f>
        <v>4.7</v>
      </c>
      <c r="I93" s="9">
        <f>'h3'!I26</f>
        <v>4.3264081255771005</v>
      </c>
      <c r="J93" s="9">
        <f>'h3'!J26</f>
        <v>1</v>
      </c>
      <c r="K93" s="9">
        <f>'h3'!K26</f>
        <v>25</v>
      </c>
      <c r="L93" s="9">
        <f>'h3'!L26</f>
        <v>100</v>
      </c>
      <c r="M93" s="9">
        <f>'h3'!M26</f>
        <v>95</v>
      </c>
      <c r="N93" s="9">
        <f>'h3'!N26</f>
        <v>50</v>
      </c>
      <c r="O93" s="9">
        <f>'h3'!O26</f>
        <v>93</v>
      </c>
      <c r="P93" s="9">
        <f>'h3'!P26</f>
        <v>1580</v>
      </c>
      <c r="Q93" s="9">
        <f>'h3'!Q26</f>
        <v>0.40000000000000036</v>
      </c>
      <c r="R93" s="9">
        <f>'h3'!R26</f>
        <v>0.026408125577100705</v>
      </c>
      <c r="S93" s="9">
        <f>'h3'!S26</f>
        <v>0.37359187442289965</v>
      </c>
      <c r="T93" s="9">
        <f>'h3'!T26</f>
        <v>2.741772151898734</v>
      </c>
      <c r="U93" s="9">
        <f>'h3'!U26</f>
        <v>15.733798451417456</v>
      </c>
      <c r="V93" s="9">
        <f>'h3'!V26</f>
        <v>6.329113924050633</v>
      </c>
      <c r="W93" s="9">
        <f>'h3'!W26</f>
        <v>6.012658227848101</v>
      </c>
      <c r="X93" s="9">
        <f>'h3'!X26</f>
        <v>3.1645569620253164</v>
      </c>
      <c r="Y93" s="9">
        <f>'h3'!Y26</f>
        <v>5.886075949367089</v>
      </c>
      <c r="Z93" s="9">
        <f>'h3'!Z26</f>
        <v>14.146853146853147</v>
      </c>
      <c r="AA93" s="9">
        <f>'h3'!AA26</f>
        <v>0.43276723276723283</v>
      </c>
      <c r="AB93" s="9">
        <f>'h3'!AB26</f>
        <v>0.45552050473186123</v>
      </c>
      <c r="AC93" s="9">
        <f>'h3'!AC26</f>
        <v>0.8646706586826347</v>
      </c>
      <c r="AD93" s="9">
        <f>'h3'!AD26</f>
        <v>0.4653061224489796</v>
      </c>
      <c r="AE93" s="46" t="s">
        <v>221</v>
      </c>
      <c r="AF93" s="9">
        <v>37.3838037</v>
      </c>
      <c r="AG93" s="9">
        <v>-5.9749692</v>
      </c>
    </row>
    <row r="94">
      <c r="A94" s="10">
        <f>'h3'!A27</f>
        <v>93</v>
      </c>
      <c r="B94" t="str">
        <f>'h3'!B27</f>
        <v>Hotel</v>
      </c>
      <c r="C94" t="str">
        <f>'h3'!C27</f>
        <v>Radisson Collection Hotel, Magdalena Plaza Sevilla</v>
      </c>
      <c r="D94" t="str">
        <f>'h3'!D27</f>
        <v>Publicidad</v>
      </c>
      <c r="E94" s="9">
        <f>'h3'!E27</f>
        <v>646</v>
      </c>
      <c r="F94" s="9">
        <f>'h3'!F27</f>
        <v>327</v>
      </c>
      <c r="G94" s="9">
        <f>'h3'!G27</f>
        <v>4.6</v>
      </c>
      <c r="H94" s="9">
        <f>'h3'!H27</f>
        <v>4.6</v>
      </c>
      <c r="I94" s="9">
        <f>'h3'!I27</f>
        <v>4.6</v>
      </c>
      <c r="J94" s="9">
        <f>'h3'!J27</f>
        <v>1</v>
      </c>
      <c r="K94" s="9">
        <f>'h3'!K27</f>
        <v>52</v>
      </c>
      <c r="L94" s="9">
        <f>'h3'!L27</f>
        <v>0</v>
      </c>
      <c r="M94" s="9">
        <f>'h3'!M27</f>
        <v>14</v>
      </c>
      <c r="N94" s="9">
        <f>'h3'!N27</f>
        <v>0</v>
      </c>
      <c r="O94" s="9">
        <f>'h3'!O27</f>
        <v>5.6000000000000005</v>
      </c>
      <c r="P94" s="9">
        <f>'h3'!P27</f>
        <v>666</v>
      </c>
      <c r="Q94" s="9">
        <f>'h3'!Q27</f>
        <v>0</v>
      </c>
      <c r="R94" s="9">
        <f>'h3'!R27</f>
        <v>0</v>
      </c>
      <c r="S94" s="9">
        <f>'h3'!S27</f>
        <v>0</v>
      </c>
      <c r="T94" s="9">
        <f>'h3'!T27</f>
        <v>1.460960960960961</v>
      </c>
      <c r="U94" s="9">
        <f>'h3'!U27</f>
        <v>13.745319065234417</v>
      </c>
      <c r="V94" s="9">
        <f>'h3'!V27</f>
        <v>0</v>
      </c>
      <c r="W94" s="9">
        <f>'h3'!W27</f>
        <v>2.1021021021021022</v>
      </c>
      <c r="X94" s="9">
        <f>'h3'!X27</f>
        <v>0</v>
      </c>
      <c r="Y94" s="9">
        <f>'h3'!Y27</f>
        <v>0.8408408408408409</v>
      </c>
      <c r="Z94" s="9">
        <f>'h3'!Z27</f>
        <v>1.9755351681957187</v>
      </c>
      <c r="AA94" s="9">
        <f>'h3'!AA27</f>
        <v>97.3</v>
      </c>
      <c r="AB94" s="9">
        <f>'h3'!AB27</f>
        <v>0.6900709219858157</v>
      </c>
      <c r="AC94" s="9">
        <f>'h3'!AC27</f>
        <v>97.3</v>
      </c>
      <c r="AD94" s="9">
        <f>'h3'!AD27</f>
        <v>1.707017543859649</v>
      </c>
      <c r="AE94" s="46" t="s">
        <v>224</v>
      </c>
      <c r="AF94" s="9">
        <v>37.3911664</v>
      </c>
      <c r="AG94" s="9">
        <v>-5.9968222</v>
      </c>
    </row>
    <row r="95">
      <c r="A95" s="10">
        <f>'h3'!A28</f>
        <v>94</v>
      </c>
      <c r="B95" t="str">
        <f>'h3'!B28</f>
        <v>Hotel</v>
      </c>
      <c r="C95" t="str">
        <f>'h3'!C28</f>
        <v>Hotel Rey Alfonso X</v>
      </c>
      <c r="D95" t="str">
        <f>'h3'!D28</f>
        <v>Publicidad</v>
      </c>
      <c r="E95" s="9">
        <f>'h3'!E28</f>
        <v>1473</v>
      </c>
      <c r="F95" s="9">
        <f>'h3'!F28</f>
        <v>2447</v>
      </c>
      <c r="G95" s="9">
        <f>'h3'!G28</f>
        <v>4.6</v>
      </c>
      <c r="H95" s="9">
        <f>'h3'!H28</f>
        <v>4.4</v>
      </c>
      <c r="I95" s="9">
        <f>'h3'!I28</f>
        <v>4.475153061224489</v>
      </c>
      <c r="J95" s="9">
        <f>'h3'!J28</f>
        <v>1</v>
      </c>
      <c r="K95" s="9">
        <f>'h3'!K28</f>
        <v>42</v>
      </c>
      <c r="L95" s="9">
        <f>'h3'!L28</f>
        <v>0</v>
      </c>
      <c r="M95" s="9">
        <f>'h3'!M28</f>
        <v>0</v>
      </c>
      <c r="N95" s="9">
        <f>'h3'!N28</f>
        <v>0</v>
      </c>
      <c r="O95" s="9">
        <f>'h3'!O28</f>
        <v>0</v>
      </c>
      <c r="P95" s="9">
        <f>'h3'!P28</f>
        <v>407</v>
      </c>
      <c r="Q95" s="9">
        <f>'h3'!Q28</f>
        <v>0.1999999999999993</v>
      </c>
      <c r="R95" s="9">
        <f>'h3'!R28</f>
        <v>0.12484693877551045</v>
      </c>
      <c r="S95" s="9">
        <f>'h3'!S28</f>
        <v>0.07515306122448884</v>
      </c>
      <c r="T95" s="9">
        <f>'h3'!T28</f>
        <v>9.631449631449632</v>
      </c>
      <c r="U95" s="9">
        <f>'h3'!U28</f>
        <v>16.080505142681904</v>
      </c>
      <c r="V95" s="9">
        <f>'h3'!V28</f>
        <v>0</v>
      </c>
      <c r="W95" s="9">
        <f>'h3'!W28</f>
        <v>0</v>
      </c>
      <c r="X95" s="9">
        <f>'h3'!X28</f>
        <v>0</v>
      </c>
      <c r="Y95" s="9">
        <f>'h3'!Y28</f>
        <v>0</v>
      </c>
      <c r="Z95" s="9">
        <f>'h3'!Z28</f>
        <v>0.6019615856150389</v>
      </c>
      <c r="AA95" s="9">
        <f>'h3'!AA28</f>
        <v>392</v>
      </c>
      <c r="AB95" s="9">
        <f>'h3'!AB28</f>
        <v>392</v>
      </c>
      <c r="AC95" s="9">
        <f>'h3'!AC28</f>
        <v>392</v>
      </c>
      <c r="AD95" s="9">
        <f>'h3'!AD28</f>
        <v>392</v>
      </c>
      <c r="AE95" s="46" t="s">
        <v>224</v>
      </c>
      <c r="AF95" s="9">
        <v>37.3867353</v>
      </c>
      <c r="AG95" s="9">
        <v>-5.9880745</v>
      </c>
    </row>
    <row r="96">
      <c r="A96" s="10">
        <f>'h3'!A29</f>
        <v>95</v>
      </c>
      <c r="B96" t="str">
        <f>'h3'!B29</f>
        <v>Hotel</v>
      </c>
      <c r="C96" t="str">
        <f>'h3'!C29</f>
        <v>Hotel Fernando III</v>
      </c>
      <c r="D96" t="str">
        <f>'h3'!D29</f>
        <v>Publicidad</v>
      </c>
      <c r="E96" s="9">
        <f>'h3'!E29</f>
        <v>2547</v>
      </c>
      <c r="F96" s="9">
        <f>'h3'!F29</f>
        <v>3516</v>
      </c>
      <c r="G96" s="9">
        <f>'h3'!G29</f>
        <v>4.6</v>
      </c>
      <c r="H96" s="9">
        <f>'h3'!H29</f>
        <v>4.3</v>
      </c>
      <c r="I96" s="9">
        <f>'h3'!I29</f>
        <v>4.426026719445819</v>
      </c>
      <c r="J96" s="9">
        <f>'h3'!J29</f>
        <v>1</v>
      </c>
      <c r="K96" s="9">
        <f>'h3'!K29</f>
        <v>35</v>
      </c>
      <c r="L96" s="9">
        <f>'h3'!L29</f>
        <v>0</v>
      </c>
      <c r="M96" s="9">
        <f>'h3'!M29</f>
        <v>0</v>
      </c>
      <c r="N96" s="9">
        <f>'h3'!N29</f>
        <v>0</v>
      </c>
      <c r="O96" s="9">
        <f>'h3'!O29</f>
        <v>0</v>
      </c>
      <c r="P96" s="9">
        <f>'h3'!P29</f>
        <v>428</v>
      </c>
      <c r="Q96" s="9">
        <f>'h3'!Q29</f>
        <v>0.2999999999999998</v>
      </c>
      <c r="R96" s="9">
        <f>'h3'!R29</f>
        <v>0.17397328055418093</v>
      </c>
      <c r="S96" s="9">
        <f>'h3'!S29</f>
        <v>0.1260267194458189</v>
      </c>
      <c r="T96" s="9">
        <f>'h3'!T29</f>
        <v>14.16588785046729</v>
      </c>
      <c r="U96" s="9">
        <f>'h3'!U29</f>
        <v>16.74227624832349</v>
      </c>
      <c r="V96" s="9">
        <f>'h3'!V29</f>
        <v>0</v>
      </c>
      <c r="W96" s="9">
        <f>'h3'!W29</f>
        <v>0</v>
      </c>
      <c r="X96" s="9">
        <f>'h3'!X29</f>
        <v>0</v>
      </c>
      <c r="Y96" s="9">
        <f>'h3'!Y29</f>
        <v>0</v>
      </c>
      <c r="Z96" s="9">
        <f>'h3'!Z29</f>
        <v>0.7244027303754266</v>
      </c>
      <c r="AA96" s="9">
        <f>'h3'!AA29</f>
        <v>606.3</v>
      </c>
      <c r="AB96" s="9">
        <f>'h3'!AB29</f>
        <v>606.3</v>
      </c>
      <c r="AC96" s="9">
        <f>'h3'!AC29</f>
        <v>606.3</v>
      </c>
      <c r="AD96" s="9">
        <f>'h3'!AD29</f>
        <v>606.3</v>
      </c>
      <c r="AE96" s="46" t="s">
        <v>224</v>
      </c>
      <c r="AF96" s="9">
        <v>37.3871662</v>
      </c>
      <c r="AG96" s="9">
        <v>-5.9879265</v>
      </c>
    </row>
    <row r="97">
      <c r="A97" s="10">
        <f>'h3'!A30</f>
        <v>96</v>
      </c>
      <c r="B97" t="str">
        <f>'h3'!B30</f>
        <v>Hotel</v>
      </c>
      <c r="C97" t="str">
        <f>'h3'!C30</f>
        <v>Hotel Occidental Sevilla Viapol</v>
      </c>
      <c r="D97" t="str">
        <f>'h3'!D30</f>
        <v>Publicidad</v>
      </c>
      <c r="E97" s="9">
        <f>'h3'!E30</f>
        <v>2309</v>
      </c>
      <c r="F97" s="9">
        <f>'h3'!F30</f>
        <v>504</v>
      </c>
      <c r="G97" s="9">
        <f>'h3'!G30</f>
        <v>4.4</v>
      </c>
      <c r="H97" s="9">
        <f>'h3'!H30</f>
        <v>4.5</v>
      </c>
      <c r="I97" s="9">
        <f>'h3'!I30</f>
        <v>4.417916814788482</v>
      </c>
      <c r="J97" s="9">
        <f>'h3'!J30</f>
        <v>1</v>
      </c>
      <c r="K97" s="9">
        <f>'h3'!K30</f>
        <v>47</v>
      </c>
      <c r="L97" s="9">
        <f>'h3'!L30</f>
        <v>0</v>
      </c>
      <c r="M97" s="9">
        <f>'h3'!M30</f>
        <v>0</v>
      </c>
      <c r="N97" s="9">
        <f>'h3'!N30</f>
        <v>0</v>
      </c>
      <c r="O97" s="9">
        <f>'h3'!O30</f>
        <v>0</v>
      </c>
      <c r="P97" s="9">
        <f>'h3'!P30</f>
        <v>1540</v>
      </c>
      <c r="Q97" s="9">
        <f>'h3'!Q30</f>
        <v>0.09999999999999964</v>
      </c>
      <c r="R97" s="9">
        <f>'h3'!R30</f>
        <v>0.017916814788481616</v>
      </c>
      <c r="S97" s="9">
        <f>'h3'!S30</f>
        <v>0.08208318521151803</v>
      </c>
      <c r="T97" s="9">
        <f>'h3'!T30</f>
        <v>1.8266233766233766</v>
      </c>
      <c r="U97" s="9">
        <f>'h3'!U30</f>
        <v>15.238144956792125</v>
      </c>
      <c r="V97" s="9">
        <f>'h3'!V30</f>
        <v>0</v>
      </c>
      <c r="W97" s="9">
        <f>'h3'!W30</f>
        <v>0</v>
      </c>
      <c r="X97" s="9">
        <f>'h3'!X30</f>
        <v>0</v>
      </c>
      <c r="Y97" s="9">
        <f>'h3'!Y30</f>
        <v>0</v>
      </c>
      <c r="Z97" s="9">
        <f>'h3'!Z30</f>
        <v>4.5813492063492065</v>
      </c>
      <c r="AA97" s="9">
        <f>'h3'!AA30</f>
        <v>281.3</v>
      </c>
      <c r="AB97" s="9">
        <f>'h3'!AB30</f>
        <v>281.3</v>
      </c>
      <c r="AC97" s="9">
        <f>'h3'!AC30</f>
        <v>281.3</v>
      </c>
      <c r="AD97" s="9">
        <f>'h3'!AD30</f>
        <v>281.3</v>
      </c>
      <c r="AE97" s="46" t="s">
        <v>224</v>
      </c>
      <c r="AF97" s="9">
        <v>37.378653</v>
      </c>
      <c r="AG97" s="9">
        <v>-5.9780306</v>
      </c>
    </row>
    <row r="98">
      <c r="A98" s="10">
        <f>'h3'!A31</f>
        <v>97</v>
      </c>
      <c r="B98" t="str">
        <f>'h3'!B31</f>
        <v>Hotel</v>
      </c>
      <c r="C98" t="str">
        <f>'h3'!C31</f>
        <v>Hotel Porcel Torneo</v>
      </c>
      <c r="D98" t="str">
        <f>'h3'!D31</f>
        <v>Publicidad</v>
      </c>
      <c r="E98" s="9">
        <f>'h3'!E31</f>
        <v>1480</v>
      </c>
      <c r="F98" s="9">
        <f>'h3'!F31</f>
        <v>35</v>
      </c>
      <c r="G98" s="9">
        <f>'h3'!G31</f>
        <v>4.3</v>
      </c>
      <c r="H98" s="9">
        <f>'h3'!H31</f>
        <v>3.5</v>
      </c>
      <c r="I98" s="9">
        <f>'h3'!I31</f>
        <v>4.281518151815182</v>
      </c>
      <c r="J98" s="9">
        <f>'h3'!J31</f>
        <v>1</v>
      </c>
      <c r="K98" s="9">
        <f>'h3'!K31</f>
        <v>175</v>
      </c>
      <c r="L98" s="9">
        <f>'h3'!L31</f>
        <v>150</v>
      </c>
      <c r="M98" s="9">
        <f>'h3'!M31</f>
        <v>150</v>
      </c>
      <c r="N98" s="9">
        <f>'h3'!N31</f>
        <v>0</v>
      </c>
      <c r="O98" s="9">
        <f>'h3'!O31</f>
        <v>135</v>
      </c>
      <c r="P98" s="9">
        <f>'h3'!P31</f>
        <v>3070</v>
      </c>
      <c r="Q98" s="9">
        <f>'h3'!Q31</f>
        <v>0.7999999999999998</v>
      </c>
      <c r="R98" s="9">
        <f>'h3'!R31</f>
        <v>0.018481848184817906</v>
      </c>
      <c r="S98" s="9">
        <f>'h3'!S31</f>
        <v>0.7815181518151819</v>
      </c>
      <c r="T98" s="9">
        <f>'h3'!T31</f>
        <v>0.49348534201954397</v>
      </c>
      <c r="U98" s="9">
        <f>'h3'!U31</f>
        <v>13.616994417759598</v>
      </c>
      <c r="V98" s="9">
        <f>'h3'!V31</f>
        <v>4.88599348534202</v>
      </c>
      <c r="W98" s="9">
        <f>'h3'!W31</f>
        <v>4.88599348534202</v>
      </c>
      <c r="X98" s="9">
        <f>'h3'!X31</f>
        <v>0</v>
      </c>
      <c r="Y98" s="9">
        <f>'h3'!Y31</f>
        <v>4.397394136807818</v>
      </c>
      <c r="Z98" s="9">
        <f>'h3'!Z31</f>
        <v>42.285714285714285</v>
      </c>
      <c r="AA98" s="9">
        <f>'h3'!AA31</f>
        <v>0.10093271152564957</v>
      </c>
      <c r="AB98" s="9">
        <f>'h3'!AB31</f>
        <v>0.10093271152564957</v>
      </c>
      <c r="AC98" s="9">
        <f>'h3'!AC31</f>
        <v>151.5</v>
      </c>
      <c r="AD98" s="9">
        <f>'h3'!AD31</f>
        <v>0.11213915618060696</v>
      </c>
      <c r="AE98" s="46" t="s">
        <v>224</v>
      </c>
      <c r="AF98" s="9">
        <v>37.4129503</v>
      </c>
      <c r="AG98" s="9">
        <v>-5.9840566</v>
      </c>
    </row>
    <row r="99">
      <c r="A99" s="10">
        <f>'h3'!A32</f>
        <v>98</v>
      </c>
      <c r="B99" t="str">
        <f>'h3'!B32</f>
        <v>Hotel</v>
      </c>
      <c r="C99" t="str">
        <f>'h3'!C32</f>
        <v>Hotel Ibis Sevilla</v>
      </c>
      <c r="D99" t="str">
        <f>'h3'!D32</f>
        <v>Publicidad</v>
      </c>
      <c r="E99" s="9">
        <f>'h3'!E32</f>
        <v>2550</v>
      </c>
      <c r="F99" s="9">
        <f>'h3'!F32</f>
        <v>1154</v>
      </c>
      <c r="G99" s="9">
        <f>'h3'!G32</f>
        <v>4.1</v>
      </c>
      <c r="H99" s="9">
        <f>'h3'!H32</f>
        <v>4</v>
      </c>
      <c r="I99" s="9">
        <f>'h3'!I32</f>
        <v>4.068844492440605</v>
      </c>
      <c r="J99" s="9">
        <f>'h3'!J32</f>
        <v>1</v>
      </c>
      <c r="K99" s="9">
        <f>'h3'!K32</f>
        <v>102</v>
      </c>
      <c r="L99" s="9">
        <f>'h3'!L32</f>
        <v>0</v>
      </c>
      <c r="M99" s="9">
        <f>'h3'!M32</f>
        <v>25</v>
      </c>
      <c r="N99" s="9">
        <f>'h3'!N32</f>
        <v>0</v>
      </c>
      <c r="O99" s="9">
        <f>'h3'!O32</f>
        <v>10</v>
      </c>
      <c r="P99" s="9">
        <f>'h3'!P32</f>
        <v>4460</v>
      </c>
      <c r="Q99" s="9">
        <f>'h3'!Q32</f>
        <v>0.09999999999999964</v>
      </c>
      <c r="R99" s="9">
        <f>'h3'!R32</f>
        <v>0.031155507559394557</v>
      </c>
      <c r="S99" s="9">
        <f>'h3'!S32</f>
        <v>0.06884449244060509</v>
      </c>
      <c r="T99" s="9">
        <f>'h3'!T32</f>
        <v>0.8304932735426009</v>
      </c>
      <c r="U99" s="9">
        <f>'h3'!U32</f>
        <v>14.520367254208196</v>
      </c>
      <c r="V99" s="9">
        <f>'h3'!V32</f>
        <v>0</v>
      </c>
      <c r="W99" s="9">
        <f>'h3'!W32</f>
        <v>0.5605381165919282</v>
      </c>
      <c r="X99" s="9">
        <f>'h3'!X32</f>
        <v>0</v>
      </c>
      <c r="Y99" s="9">
        <f>'h3'!Y32</f>
        <v>0.2242152466367713</v>
      </c>
      <c r="Z99" s="9">
        <f>'h3'!Z32</f>
        <v>2.2097053726169844</v>
      </c>
      <c r="AA99" s="9">
        <f>'h3'!AA32</f>
        <v>370.4</v>
      </c>
      <c r="AB99" s="9">
        <f>'h3'!AB32</f>
        <v>1.4756972111553786</v>
      </c>
      <c r="AC99" s="9">
        <f>'h3'!AC32</f>
        <v>370.4</v>
      </c>
      <c r="AD99" s="9">
        <f>'h3'!AD32</f>
        <v>3.6673267326732675</v>
      </c>
      <c r="AE99" s="46" t="s">
        <v>224</v>
      </c>
      <c r="AF99" s="9">
        <v>37.4084169</v>
      </c>
      <c r="AG99" s="9">
        <v>-5.9506762</v>
      </c>
    </row>
    <row r="100">
      <c r="A100" s="10">
        <f>'h3'!A33</f>
        <v>99</v>
      </c>
      <c r="B100" t="str">
        <f>'h3'!B33</f>
        <v>Hotel</v>
      </c>
      <c r="C100" t="str">
        <f>'h3'!C33</f>
        <v>Hotel Exe Palmera</v>
      </c>
      <c r="D100" t="str">
        <f>'h3'!D33</f>
        <v>Publicidad</v>
      </c>
      <c r="E100" s="9">
        <f>'h3'!E33</f>
        <v>2705</v>
      </c>
      <c r="F100" s="9">
        <f>'h3'!F33</f>
        <v>587</v>
      </c>
      <c r="G100" s="9">
        <f>'h3'!G33</f>
        <v>3.9</v>
      </c>
      <c r="H100" s="9">
        <f>'h3'!H33</f>
        <v>3.5</v>
      </c>
      <c r="I100" s="9">
        <f>'h3'!I33</f>
        <v>3.828675577156744</v>
      </c>
      <c r="J100" s="9">
        <f>'h3'!J33</f>
        <v>1</v>
      </c>
      <c r="K100" s="9">
        <f>'h3'!K33</f>
        <v>155</v>
      </c>
      <c r="L100" s="9">
        <f>'h3'!L33</f>
        <v>50</v>
      </c>
      <c r="M100" s="9">
        <f>'h3'!M33</f>
        <v>233</v>
      </c>
      <c r="N100" s="9">
        <f>'h3'!N33</f>
        <v>100</v>
      </c>
      <c r="O100" s="9">
        <f>'h3'!O33</f>
        <v>128.2</v>
      </c>
      <c r="P100" s="9">
        <f>'h3'!P33</f>
        <v>2650</v>
      </c>
      <c r="Q100" s="9">
        <f>'h3'!Q33</f>
        <v>0.3999999999999999</v>
      </c>
      <c r="R100" s="9">
        <f>'h3'!R33</f>
        <v>0.07132442284325613</v>
      </c>
      <c r="S100" s="9">
        <f>'h3'!S33</f>
        <v>0.3286755771567438</v>
      </c>
      <c r="T100" s="9">
        <f>'h3'!T33</f>
        <v>1.2422641509433963</v>
      </c>
      <c r="U100" s="9">
        <f>'h3'!U33</f>
        <v>13.467212531504584</v>
      </c>
      <c r="V100" s="9">
        <f>'h3'!V33</f>
        <v>1.8867924528301887</v>
      </c>
      <c r="W100" s="9">
        <f>'h3'!W33</f>
        <v>8.79245283018868</v>
      </c>
      <c r="X100" s="9">
        <f>'h3'!X33</f>
        <v>3.7735849056603774</v>
      </c>
      <c r="Y100" s="9">
        <f>'h3'!Y33</f>
        <v>4.837735849056603</v>
      </c>
      <c r="Z100" s="9">
        <f>'h3'!Z33</f>
        <v>4.608177172061329</v>
      </c>
      <c r="AA100" s="9">
        <f>'h3'!AA33</f>
        <v>0.6570858283433134</v>
      </c>
      <c r="AB100" s="9">
        <f>'h3'!AB33</f>
        <v>0.14122694122694124</v>
      </c>
      <c r="AC100" s="9">
        <f>'h3'!AC33</f>
        <v>0.3288711288711289</v>
      </c>
      <c r="AD100" s="9">
        <f>'h3'!AD33</f>
        <v>0.2565861262665628</v>
      </c>
      <c r="AE100" s="46" t="s">
        <v>224</v>
      </c>
      <c r="AF100" s="9">
        <v>37.365182</v>
      </c>
      <c r="AG100" s="9">
        <v>-5.9784868</v>
      </c>
    </row>
    <row r="101">
      <c r="A101" s="10">
        <f>'h3'!A34</f>
        <v>100</v>
      </c>
      <c r="B101" t="str">
        <f>'h3'!B34</f>
        <v>Hotel</v>
      </c>
      <c r="C101" t="str">
        <f>'h3'!C34</f>
        <v>ibis Budget Sevilla Aeropuerto</v>
      </c>
      <c r="D101" t="str">
        <f>'h3'!D34</f>
        <v>Publicidad</v>
      </c>
      <c r="E101" s="9">
        <f>'h3'!E34</f>
        <v>3010</v>
      </c>
      <c r="F101" s="9">
        <f>'h3'!F34</f>
        <v>931</v>
      </c>
      <c r="G101" s="9">
        <f>'h3'!G34</f>
        <v>3.9</v>
      </c>
      <c r="H101" s="9">
        <f>'h3'!H34</f>
        <v>3.7</v>
      </c>
      <c r="I101" s="9">
        <f>'h3'!I34</f>
        <v>3.8527531083481352</v>
      </c>
      <c r="J101" s="9">
        <f>'h3'!J34</f>
        <v>1</v>
      </c>
      <c r="K101" s="9">
        <f>'h3'!K34</f>
        <v>135</v>
      </c>
      <c r="L101" s="9">
        <f>'h3'!L34</f>
        <v>0</v>
      </c>
      <c r="M101" s="9">
        <f>'h3'!M34</f>
        <v>0</v>
      </c>
      <c r="N101" s="9">
        <f>'h3'!N34</f>
        <v>0</v>
      </c>
      <c r="O101" s="9">
        <f>'h3'!O34</f>
        <v>0</v>
      </c>
      <c r="P101" s="9">
        <f>'h3'!P34</f>
        <v>4550</v>
      </c>
      <c r="Q101" s="9">
        <f>'h3'!Q34</f>
        <v>0.19999999999999973</v>
      </c>
      <c r="R101" s="9">
        <f>'h3'!R34</f>
        <v>0.047246891651864686</v>
      </c>
      <c r="S101" s="9">
        <f>'h3'!S34</f>
        <v>0.15275310834813505</v>
      </c>
      <c r="T101" s="9">
        <f>'h3'!T34</f>
        <v>0.8661538461538462</v>
      </c>
      <c r="U101" s="9">
        <f>'h3'!U34</f>
        <v>13.85298386832501</v>
      </c>
      <c r="V101" s="9">
        <f>'h3'!V34</f>
        <v>0</v>
      </c>
      <c r="W101" s="9">
        <f>'h3'!W34</f>
        <v>0</v>
      </c>
      <c r="X101" s="9">
        <f>'h3'!X34</f>
        <v>0</v>
      </c>
      <c r="Y101" s="9">
        <f>'h3'!Y34</f>
        <v>0</v>
      </c>
      <c r="Z101" s="9">
        <f>'h3'!Z34</f>
        <v>3.2330827067669174</v>
      </c>
      <c r="AA101" s="9">
        <f>'h3'!AA34</f>
        <v>394.1</v>
      </c>
      <c r="AB101" s="9">
        <f>'h3'!AB34</f>
        <v>394.1</v>
      </c>
      <c r="AC101" s="9">
        <f>'h3'!AC34</f>
        <v>394.1</v>
      </c>
      <c r="AD101" s="9">
        <f>'h3'!AD34</f>
        <v>394.1</v>
      </c>
      <c r="AE101" s="46" t="s">
        <v>224</v>
      </c>
      <c r="AF101" s="9">
        <v>37.4088669</v>
      </c>
      <c r="AG101" s="9">
        <v>-5.9497143</v>
      </c>
    </row>
    <row r="102">
      <c r="A102" s="10">
        <f>'h3'!A35</f>
        <v>101</v>
      </c>
      <c r="B102" t="str">
        <f>'h3'!B35</f>
        <v>Hotel</v>
      </c>
      <c r="C102" t="str">
        <f>'h3'!C35</f>
        <v>AC Hotel Sevilla Forum</v>
      </c>
      <c r="D102" t="str">
        <f>'h3'!D35</f>
        <v>Publicidad</v>
      </c>
      <c r="E102" s="9">
        <f>'h3'!E35</f>
        <v>1683</v>
      </c>
      <c r="F102" s="9">
        <f>'h3'!F35</f>
        <v>483</v>
      </c>
      <c r="G102" s="9">
        <f>'h3'!G35</f>
        <v>4.1</v>
      </c>
      <c r="H102" s="9">
        <f>'h3'!H35</f>
        <v>3.5</v>
      </c>
      <c r="I102" s="9">
        <f>'h3'!I35</f>
        <v>3.966204986149584</v>
      </c>
      <c r="J102" s="9">
        <f>'h3'!J35</f>
        <v>1</v>
      </c>
      <c r="K102" s="9">
        <f>'h3'!K35</f>
        <v>146</v>
      </c>
      <c r="L102" s="9">
        <f>'h3'!L35</f>
        <v>0</v>
      </c>
      <c r="M102" s="9">
        <f>'h3'!M35</f>
        <v>0</v>
      </c>
      <c r="N102" s="9">
        <f>'h3'!N35</f>
        <v>0</v>
      </c>
      <c r="O102" s="9">
        <f>'h3'!O35</f>
        <v>0</v>
      </c>
      <c r="P102" s="9">
        <f>'h3'!P35</f>
        <v>4800</v>
      </c>
      <c r="Q102" s="9">
        <f>'h3'!Q35</f>
        <v>0.5999999999999996</v>
      </c>
      <c r="R102" s="9">
        <f>'h3'!R35</f>
        <v>0.1337950138504156</v>
      </c>
      <c r="S102" s="9">
        <f>'h3'!S35</f>
        <v>0.46620498614958406</v>
      </c>
      <c r="T102" s="9">
        <f>'h3'!T35</f>
        <v>0.45125</v>
      </c>
      <c r="U102" s="9">
        <f>'h3'!U35</f>
        <v>13.229905185561833</v>
      </c>
      <c r="V102" s="9">
        <f>'h3'!V35</f>
        <v>0</v>
      </c>
      <c r="W102" s="9">
        <f>'h3'!W35</f>
        <v>0</v>
      </c>
      <c r="X102" s="9">
        <f>'h3'!X35</f>
        <v>0</v>
      </c>
      <c r="Y102" s="9">
        <f>'h3'!Y35</f>
        <v>0</v>
      </c>
      <c r="Z102" s="9">
        <f>'h3'!Z35</f>
        <v>3.484472049689441</v>
      </c>
      <c r="AA102" s="9">
        <f>'h3'!AA35</f>
        <v>216.6</v>
      </c>
      <c r="AB102" s="9">
        <f>'h3'!AB35</f>
        <v>216.6</v>
      </c>
      <c r="AC102" s="9">
        <f>'h3'!AC35</f>
        <v>216.6</v>
      </c>
      <c r="AD102" s="9">
        <f>'h3'!AD35</f>
        <v>216.6</v>
      </c>
      <c r="AE102" s="46" t="s">
        <v>224</v>
      </c>
      <c r="AF102" s="9">
        <v>37.4082261</v>
      </c>
      <c r="AG102" s="9">
        <v>-5.9458313</v>
      </c>
    </row>
    <row r="103">
      <c r="A103" s="10">
        <f>'h3'!A36</f>
        <v>102</v>
      </c>
      <c r="B103" t="str">
        <f>'h3'!B36</f>
        <v>Hotel</v>
      </c>
      <c r="C103" t="str">
        <f>'h3'!C36</f>
        <v>Eurostars Al Andalus Palace</v>
      </c>
      <c r="D103" t="str">
        <f>'h3'!D36</f>
        <v>Publicidad</v>
      </c>
      <c r="E103" s="9">
        <f>'h3'!E36</f>
        <v>11263</v>
      </c>
      <c r="F103" s="9">
        <f>'h3'!F36</f>
        <v>5772</v>
      </c>
      <c r="G103" s="9">
        <f>'h3'!G36</f>
        <v>4.3</v>
      </c>
      <c r="H103" s="9">
        <f>'h3'!H36</f>
        <v>3.9</v>
      </c>
      <c r="I103" s="9">
        <f>'h3'!I36</f>
        <v>4.164467273260933</v>
      </c>
      <c r="J103" s="9">
        <f>'h3'!J36</f>
        <v>1</v>
      </c>
      <c r="K103" s="9">
        <f>'h3'!K36</f>
        <v>115</v>
      </c>
      <c r="L103" s="9">
        <f>'h3'!L36</f>
        <v>200</v>
      </c>
      <c r="M103" s="9">
        <f>'h3'!M36</f>
        <v>125</v>
      </c>
      <c r="N103" s="9">
        <f>'h3'!N36</f>
        <v>100</v>
      </c>
      <c r="O103" s="9">
        <f>'h3'!O36</f>
        <v>160</v>
      </c>
      <c r="P103" s="9">
        <f>'h3'!P36</f>
        <v>3730</v>
      </c>
      <c r="Q103" s="9">
        <f>'h3'!Q36</f>
        <v>0.3999999999999999</v>
      </c>
      <c r="R103" s="9">
        <f>'h3'!R36</f>
        <v>0.1355327267390667</v>
      </c>
      <c r="S103" s="9">
        <f>'h3'!S36</f>
        <v>0.2644672732609332</v>
      </c>
      <c r="T103" s="9">
        <f>'h3'!T36</f>
        <v>4.567024128686327</v>
      </c>
      <c r="U103" s="9">
        <f>'h3'!U36</f>
        <v>17.621285855270724</v>
      </c>
      <c r="V103" s="9">
        <f>'h3'!V36</f>
        <v>5.361930294906166</v>
      </c>
      <c r="W103" s="9">
        <f>'h3'!W36</f>
        <v>3.351206434316354</v>
      </c>
      <c r="X103" s="9">
        <f>'h3'!X36</f>
        <v>2.680965147453083</v>
      </c>
      <c r="Y103" s="9">
        <f>'h3'!Y36</f>
        <v>4.289544235924933</v>
      </c>
      <c r="Z103" s="9">
        <f>'h3'!Z36</f>
        <v>1.9513167013167012</v>
      </c>
      <c r="AA103" s="9">
        <f>'h3'!AA36</f>
        <v>0.8513243378310845</v>
      </c>
      <c r="AB103" s="9">
        <f>'h3'!AB36</f>
        <v>1.3617106314948044</v>
      </c>
      <c r="AC103" s="9">
        <f>'h3'!AC36</f>
        <v>1.7017982017982018</v>
      </c>
      <c r="AD103" s="9">
        <f>'h3'!AD36</f>
        <v>1.0640224859462837</v>
      </c>
      <c r="AE103" s="46" t="s">
        <v>224</v>
      </c>
      <c r="AF103" s="9">
        <v>37.3540772</v>
      </c>
      <c r="AG103" s="9">
        <v>-5.980214</v>
      </c>
    </row>
    <row r="104">
      <c r="A104" s="10">
        <f>'h3'!A37</f>
        <v>103</v>
      </c>
      <c r="B104" t="str">
        <f>'h3'!B37</f>
        <v>Hotel</v>
      </c>
      <c r="C104" t="str">
        <f>'h3'!C37</f>
        <v>Virgen de los Reyes Hotel by Senator</v>
      </c>
      <c r="D104" t="str">
        <f>'h3'!D37</f>
        <v>Publicidad</v>
      </c>
      <c r="E104" s="9">
        <f>'h3'!E37</f>
        <v>2169</v>
      </c>
      <c r="F104" s="9">
        <f>'h3'!F37</f>
        <v>150</v>
      </c>
      <c r="G104" s="9">
        <f>'h3'!G37</f>
        <v>4</v>
      </c>
      <c r="H104" s="9">
        <f>'h3'!H37</f>
        <v>4</v>
      </c>
      <c r="I104" s="9">
        <f>'h3'!I37</f>
        <v>4</v>
      </c>
      <c r="J104" s="9">
        <f>'h3'!J37</f>
        <v>1</v>
      </c>
      <c r="K104" s="9">
        <f>'h3'!K37</f>
        <v>136</v>
      </c>
      <c r="L104" s="9">
        <f>'h3'!L37</f>
        <v>150</v>
      </c>
      <c r="M104" s="9">
        <f>'h3'!M37</f>
        <v>0</v>
      </c>
      <c r="N104" s="9">
        <f>'h3'!N37</f>
        <v>100</v>
      </c>
      <c r="O104" s="9">
        <f>'h3'!O37</f>
        <v>85</v>
      </c>
      <c r="P104" s="9">
        <f>'h3'!P37</f>
        <v>2120</v>
      </c>
      <c r="Q104" s="9">
        <f>'h3'!Q37</f>
        <v>0</v>
      </c>
      <c r="R104" s="9">
        <f>'h3'!R37</f>
        <v>0</v>
      </c>
      <c r="S104" s="9">
        <f>'h3'!S37</f>
        <v>0</v>
      </c>
      <c r="T104" s="9">
        <f>'h3'!T37</f>
        <v>1.0938679245283018</v>
      </c>
      <c r="U104" s="9">
        <f>'h3'!U37</f>
        <v>13.46120299455195</v>
      </c>
      <c r="V104" s="9">
        <f>'h3'!V37</f>
        <v>7.0754716981132075</v>
      </c>
      <c r="W104" s="9">
        <f>'h3'!W37</f>
        <v>0</v>
      </c>
      <c r="X104" s="9">
        <f>'h3'!X37</f>
        <v>4.716981132075472</v>
      </c>
      <c r="Y104" s="9">
        <f>'h3'!Y37</f>
        <v>4.009433962264151</v>
      </c>
      <c r="Z104" s="9">
        <f>'h3'!Z37</f>
        <v>14.46</v>
      </c>
      <c r="AA104" s="9">
        <f>'h3'!AA37</f>
        <v>0.15449700199866756</v>
      </c>
      <c r="AB104" s="9">
        <f>'h3'!AB37</f>
        <v>231.9</v>
      </c>
      <c r="AC104" s="9">
        <f>'h3'!AC37</f>
        <v>0.23166833166833167</v>
      </c>
      <c r="AD104" s="9">
        <f>'h3'!AD37</f>
        <v>0.272502937720329</v>
      </c>
      <c r="AE104" s="46" t="s">
        <v>224</v>
      </c>
      <c r="AF104" s="9">
        <v>37.387687</v>
      </c>
      <c r="AG104" s="9">
        <v>-5.9686835</v>
      </c>
    </row>
    <row r="105">
      <c r="A105" s="10">
        <f>'h3'!A38</f>
        <v>104</v>
      </c>
      <c r="B105" t="str">
        <f>'h3'!B38</f>
        <v>Hotel</v>
      </c>
      <c r="C105" t="str">
        <f>'h3'!C38</f>
        <v>Sercotel Doña Carmela</v>
      </c>
      <c r="D105" t="str">
        <f>'h3'!D38</f>
        <v>Publicidad</v>
      </c>
      <c r="E105" s="9">
        <f>'h3'!E38</f>
        <v>1590</v>
      </c>
      <c r="F105" s="9">
        <f>'h3'!F38</f>
        <v>421</v>
      </c>
      <c r="G105" s="9">
        <f>'h3'!G38</f>
        <v>4.3</v>
      </c>
      <c r="H105" s="9">
        <f>'h3'!H38</f>
        <v>4</v>
      </c>
      <c r="I105" s="9">
        <f>'h3'!I38</f>
        <v>4.2371954251616115</v>
      </c>
      <c r="J105" s="9">
        <f>'h3'!J38</f>
        <v>1</v>
      </c>
      <c r="K105" s="9">
        <f>'h3'!K38</f>
        <v>107</v>
      </c>
      <c r="L105" s="9">
        <f>'h3'!L38</f>
        <v>50</v>
      </c>
      <c r="M105" s="9">
        <f>'h3'!M38</f>
        <v>25</v>
      </c>
      <c r="N105" s="9">
        <f>'h3'!N38</f>
        <v>0</v>
      </c>
      <c r="O105" s="9">
        <f>'h3'!O38</f>
        <v>35</v>
      </c>
      <c r="P105" s="9">
        <f>'h3'!P38</f>
        <v>6980</v>
      </c>
      <c r="Q105" s="9">
        <f>'h3'!Q38</f>
        <v>0.2999999999999998</v>
      </c>
      <c r="R105" s="9">
        <f>'h3'!R38</f>
        <v>0.0628045748383883</v>
      </c>
      <c r="S105" s="9">
        <f>'h3'!S38</f>
        <v>0.23719542516161152</v>
      </c>
      <c r="T105" s="9">
        <f>'h3'!T38</f>
        <v>0.28810888252149</v>
      </c>
      <c r="U105" s="9">
        <f>'h3'!U38</f>
        <v>13.997202512956163</v>
      </c>
      <c r="V105" s="9">
        <f>'h3'!V38</f>
        <v>0.7163323782234957</v>
      </c>
      <c r="W105" s="9">
        <f>'h3'!W38</f>
        <v>0.35816618911174786</v>
      </c>
      <c r="X105" s="9">
        <f>'h3'!X38</f>
        <v>0</v>
      </c>
      <c r="Y105" s="9">
        <f>'h3'!Y38</f>
        <v>0.501432664756447</v>
      </c>
      <c r="Z105" s="9">
        <f>'h3'!Z38</f>
        <v>3.776722090261283</v>
      </c>
      <c r="AA105" s="9">
        <f>'h3'!AA38</f>
        <v>0.4013972055888223</v>
      </c>
      <c r="AB105" s="9">
        <f>'h3'!AB38</f>
        <v>0.8011952191235059</v>
      </c>
      <c r="AC105" s="9">
        <f>'h3'!AC38</f>
        <v>201.1</v>
      </c>
      <c r="AD105" s="9">
        <f>'h3'!AD38</f>
        <v>0.572934472934473</v>
      </c>
      <c r="AE105" s="46" t="s">
        <v>224</v>
      </c>
      <c r="AF105" s="9">
        <v>37.3269567</v>
      </c>
      <c r="AG105" s="9">
        <v>-5.9665431</v>
      </c>
    </row>
    <row r="106">
      <c r="A106" s="10">
        <f>'h3'!A39</f>
        <v>105</v>
      </c>
      <c r="B106" t="str">
        <f>'h3'!B39</f>
        <v>Hotel</v>
      </c>
      <c r="C106" t="str">
        <f>'h3'!C39</f>
        <v>Hotel  NH Collection Sevilla</v>
      </c>
      <c r="D106" t="str">
        <f>'h3'!D39</f>
        <v>Publicidad</v>
      </c>
      <c r="E106" s="9">
        <f>'h3'!E39</f>
        <v>5588</v>
      </c>
      <c r="F106" s="9">
        <f>'h3'!F39</f>
        <v>3529</v>
      </c>
      <c r="G106" s="9">
        <f>'h3'!G39</f>
        <v>4.5</v>
      </c>
      <c r="H106" s="9">
        <f>'h3'!H39</f>
        <v>4.4</v>
      </c>
      <c r="I106" s="9">
        <f>'h3'!I39</f>
        <v>4.46129209169683</v>
      </c>
      <c r="J106" s="9">
        <f>'h3'!J39</f>
        <v>1</v>
      </c>
      <c r="K106" s="9">
        <f>'h3'!K39</f>
        <v>31</v>
      </c>
      <c r="L106" s="9">
        <f>'h3'!L39</f>
        <v>0</v>
      </c>
      <c r="M106" s="9">
        <f>'h3'!M39</f>
        <v>91</v>
      </c>
      <c r="N106" s="9">
        <f>'h3'!N39</f>
        <v>0</v>
      </c>
      <c r="O106" s="9">
        <f>'h3'!O39</f>
        <v>36.4</v>
      </c>
      <c r="P106" s="9">
        <f>'h3'!P39</f>
        <v>1910</v>
      </c>
      <c r="Q106" s="9">
        <f>'h3'!Q39</f>
        <v>0.09999999999999964</v>
      </c>
      <c r="R106" s="9">
        <f>'h3'!R39</f>
        <v>0.03870790830317006</v>
      </c>
      <c r="S106" s="9">
        <f>'h3'!S39</f>
        <v>0.06129209169682959</v>
      </c>
      <c r="T106" s="9">
        <f>'h3'!T39</f>
        <v>4.773298429319372</v>
      </c>
      <c r="U106" s="9">
        <f>'h3'!U39</f>
        <v>17.666056210237713</v>
      </c>
      <c r="V106" s="9">
        <f>'h3'!V39</f>
        <v>0</v>
      </c>
      <c r="W106" s="9">
        <f>'h3'!W39</f>
        <v>4.7643979057591626</v>
      </c>
      <c r="X106" s="9">
        <f>'h3'!X39</f>
        <v>0</v>
      </c>
      <c r="Y106" s="9">
        <f>'h3'!Y39</f>
        <v>1.905759162303665</v>
      </c>
      <c r="Z106" s="9">
        <f>'h3'!Z39</f>
        <v>1.5834514026636441</v>
      </c>
      <c r="AA106" s="9">
        <f>'h3'!AA39</f>
        <v>911.7</v>
      </c>
      <c r="AB106" s="9">
        <f>'h3'!AB39</f>
        <v>1.0007683863885841</v>
      </c>
      <c r="AC106" s="9">
        <f>'h3'!AC39</f>
        <v>911.7</v>
      </c>
      <c r="AD106" s="9">
        <f>'h3'!AD39</f>
        <v>2.4978082191780824</v>
      </c>
      <c r="AE106" s="46" t="s">
        <v>224</v>
      </c>
      <c r="AF106" s="9">
        <v>37.374932</v>
      </c>
      <c r="AG106" s="9">
        <v>-5.976262</v>
      </c>
    </row>
    <row r="107">
      <c r="A107" s="10">
        <f>'h3'!A40</f>
        <v>106</v>
      </c>
      <c r="B107" t="str">
        <f>'h3'!B40</f>
        <v>Hotel</v>
      </c>
      <c r="C107" t="str">
        <f>'h3'!C40</f>
        <v>Hotel Ilunion Alcora Sevilla</v>
      </c>
      <c r="D107" t="str">
        <f>'h3'!D40</f>
        <v>Publicidad</v>
      </c>
      <c r="E107" s="9">
        <f>'h3'!E40</f>
        <v>5811</v>
      </c>
      <c r="F107" s="9">
        <f>'h3'!F40</f>
        <v>1801</v>
      </c>
      <c r="G107" s="9">
        <f>'h3'!G40</f>
        <v>4.1</v>
      </c>
      <c r="H107" s="9">
        <f>'h3'!H40</f>
        <v>3.5</v>
      </c>
      <c r="I107" s="9">
        <f>'h3'!I40</f>
        <v>3.9580399369416708</v>
      </c>
      <c r="J107" s="9">
        <f>'h3'!J40</f>
        <v>0</v>
      </c>
      <c r="K107" s="9">
        <f>'h3'!K40</f>
        <v>0</v>
      </c>
      <c r="L107" s="9">
        <f>'h3'!L40</f>
        <v>0</v>
      </c>
      <c r="M107" s="9">
        <f>'h3'!M40</f>
        <v>25</v>
      </c>
      <c r="N107" s="9">
        <f>'h3'!N40</f>
        <v>0</v>
      </c>
      <c r="O107" s="9">
        <f>'h3'!O40</f>
        <v>10</v>
      </c>
      <c r="P107" s="9">
        <f>'h3'!P40</f>
        <v>4000</v>
      </c>
      <c r="Q107" s="9">
        <f>'h3'!Q40</f>
        <v>0.5999999999999996</v>
      </c>
      <c r="R107" s="9">
        <f>'h3'!R40</f>
        <v>0.14196006305832887</v>
      </c>
      <c r="S107" s="9">
        <f>'h3'!S40</f>
        <v>0.4580399369416708</v>
      </c>
      <c r="T107" s="9">
        <f>'h3'!T40</f>
        <v>1.903</v>
      </c>
      <c r="U107" s="9">
        <f>'h3'!U40</f>
        <v>15.363127184906459</v>
      </c>
      <c r="V107" s="9">
        <f>'h3'!V40</f>
        <v>0</v>
      </c>
      <c r="W107" s="9">
        <f>'h3'!W40</f>
        <v>0.625</v>
      </c>
      <c r="X107" s="9">
        <f>'h3'!X40</f>
        <v>0</v>
      </c>
      <c r="Y107" s="9">
        <f>'h3'!Y40</f>
        <v>0.25</v>
      </c>
      <c r="Z107" s="9">
        <f>'h3'!Z40</f>
        <v>3.226540810660744</v>
      </c>
      <c r="AA107" s="9">
        <f>'h3'!AA40</f>
        <v>761.2</v>
      </c>
      <c r="AB107" s="9">
        <f>'h3'!AB40</f>
        <v>3.032669322709163</v>
      </c>
      <c r="AC107" s="9">
        <f>'h3'!AC40</f>
        <v>761.2</v>
      </c>
      <c r="AD107" s="9">
        <f>'h3'!AD40</f>
        <v>7.536633663366336</v>
      </c>
      <c r="AE107" s="46" t="s">
        <v>224</v>
      </c>
      <c r="AF107" s="9">
        <v>37.3701486</v>
      </c>
      <c r="AG107" s="9">
        <v>-6.0331345</v>
      </c>
    </row>
    <row r="108">
      <c r="A108" s="10">
        <f>'h3'!A41</f>
        <v>107</v>
      </c>
      <c r="B108" t="str">
        <f>'h3'!B41</f>
        <v>Hotel</v>
      </c>
      <c r="C108" t="str">
        <f>'h3'!C41</f>
        <v>Sevilla Congresos</v>
      </c>
      <c r="D108" t="str">
        <f>'h3'!D41</f>
        <v>Publicidad</v>
      </c>
      <c r="E108" s="9">
        <f>'h3'!E41</f>
        <v>2763</v>
      </c>
      <c r="F108" s="9">
        <f>'h3'!F41</f>
        <v>631</v>
      </c>
      <c r="G108" s="9">
        <f>'h3'!G41</f>
        <v>4.1</v>
      </c>
      <c r="H108" s="9">
        <f>'h3'!H41</f>
        <v>3.8</v>
      </c>
      <c r="I108" s="9">
        <f>'h3'!I41</f>
        <v>4.044225103123158</v>
      </c>
      <c r="J108" s="9">
        <f>'h3'!J41</f>
        <v>1</v>
      </c>
      <c r="K108" s="9">
        <f>'h3'!K41</f>
        <v>121</v>
      </c>
      <c r="L108" s="9">
        <f>'h3'!L41</f>
        <v>100</v>
      </c>
      <c r="M108" s="9">
        <f>'h3'!M41</f>
        <v>100</v>
      </c>
      <c r="N108" s="9">
        <f>'h3'!N41</f>
        <v>100</v>
      </c>
      <c r="O108" s="9">
        <f>'h3'!O41</f>
        <v>100</v>
      </c>
      <c r="P108" s="9">
        <f>'h3'!P41</f>
        <v>5920</v>
      </c>
      <c r="Q108" s="9">
        <f>'h3'!Q41</f>
        <v>0.2999999999999998</v>
      </c>
      <c r="R108" s="9">
        <f>'h3'!R41</f>
        <v>0.05577489687684167</v>
      </c>
      <c r="S108" s="9">
        <f>'h3'!S41</f>
        <v>0.24422510312315815</v>
      </c>
      <c r="T108" s="9">
        <f>'h3'!T41</f>
        <v>0.5733108108108108</v>
      </c>
      <c r="U108" s="9">
        <f>'h3'!U41</f>
        <v>14.278993447059522</v>
      </c>
      <c r="V108" s="9">
        <f>'h3'!V41</f>
        <v>1.6891891891891893</v>
      </c>
      <c r="W108" s="9">
        <f>'h3'!W41</f>
        <v>1.6891891891891893</v>
      </c>
      <c r="X108" s="9">
        <f>'h3'!X41</f>
        <v>1.6891891891891893</v>
      </c>
      <c r="Y108" s="9">
        <f>'h3'!Y41</f>
        <v>1.6891891891891893</v>
      </c>
      <c r="Z108" s="9">
        <f>'h3'!Z41</f>
        <v>4.378763866877971</v>
      </c>
      <c r="AA108" s="9">
        <f>'h3'!AA41</f>
        <v>0.3390609390609391</v>
      </c>
      <c r="AB108" s="9">
        <f>'h3'!AB41</f>
        <v>0.3390609390609391</v>
      </c>
      <c r="AC108" s="9">
        <f>'h3'!AC41</f>
        <v>0.3390609390609391</v>
      </c>
      <c r="AD108" s="9">
        <f>'h3'!AD41</f>
        <v>0.3390609390609391</v>
      </c>
      <c r="AE108" s="46" t="s">
        <v>224</v>
      </c>
      <c r="AF108" s="9">
        <v>37.4055697</v>
      </c>
      <c r="AG108" s="9">
        <v>-5.9300851</v>
      </c>
    </row>
    <row r="109">
      <c r="A109" s="10">
        <f>'h3'!A42</f>
        <v>108</v>
      </c>
      <c r="B109" t="str">
        <f>'h3'!B42</f>
        <v>Hotel</v>
      </c>
      <c r="C109" t="str">
        <f>'h3'!C42</f>
        <v>Exe Sevilla Macarena</v>
      </c>
      <c r="D109" t="str">
        <f>'h3'!D42</f>
        <v>Publicidad</v>
      </c>
      <c r="E109" s="9">
        <f>'h3'!E42</f>
        <v>8352</v>
      </c>
      <c r="F109" s="9">
        <f>'h3'!F42</f>
        <v>3195</v>
      </c>
      <c r="G109" s="9">
        <f>'h3'!G42</f>
        <v>3.9</v>
      </c>
      <c r="H109" s="9">
        <f>'h3'!H42</f>
        <v>3.5</v>
      </c>
      <c r="I109" s="9">
        <f>'h3'!I42</f>
        <v>3.7893219017926736</v>
      </c>
      <c r="J109" s="9">
        <f>'h3'!J42</f>
        <v>1</v>
      </c>
      <c r="K109" s="9">
        <f>'h3'!K42</f>
        <v>178</v>
      </c>
      <c r="L109" s="9">
        <f>'h3'!L42</f>
        <v>150</v>
      </c>
      <c r="M109" s="9">
        <f>'h3'!M42</f>
        <v>170</v>
      </c>
      <c r="N109" s="9">
        <f>'h3'!N42</f>
        <v>200</v>
      </c>
      <c r="O109" s="9">
        <f>'h3'!O42</f>
        <v>163</v>
      </c>
      <c r="P109" s="9">
        <f>'h3'!P42</f>
        <v>1970</v>
      </c>
      <c r="Q109" s="9">
        <f>'h3'!Q42</f>
        <v>0.3999999999999999</v>
      </c>
      <c r="R109" s="9">
        <f>'h3'!R42</f>
        <v>0.11067809820732633</v>
      </c>
      <c r="S109" s="9">
        <f>'h3'!S42</f>
        <v>0.2893219017926736</v>
      </c>
      <c r="T109" s="9">
        <f>'h3'!T42</f>
        <v>5.861421319796954</v>
      </c>
      <c r="U109" s="9">
        <f>'h3'!U42</f>
        <v>15.394003385377362</v>
      </c>
      <c r="V109" s="9">
        <f>'h3'!V42</f>
        <v>7.614213197969544</v>
      </c>
      <c r="W109" s="9">
        <f>'h3'!W42</f>
        <v>8.629441624365482</v>
      </c>
      <c r="X109" s="9">
        <f>'h3'!X42</f>
        <v>10.152284263959391</v>
      </c>
      <c r="Y109" s="9">
        <f>'h3'!Y42</f>
        <v>8.274111675126903</v>
      </c>
      <c r="Z109" s="9">
        <f>'h3'!Z42</f>
        <v>2.6140845070422536</v>
      </c>
      <c r="AA109" s="9">
        <f>'h3'!AA42</f>
        <v>0.7692871419053964</v>
      </c>
      <c r="AB109" s="9">
        <f>'h3'!AB42</f>
        <v>0.6788359788359789</v>
      </c>
      <c r="AC109" s="9">
        <f>'h3'!AC42</f>
        <v>0.5770614692653673</v>
      </c>
      <c r="AD109" s="9">
        <f>'h3'!AD42</f>
        <v>0.7079705702023298</v>
      </c>
      <c r="AE109" s="46" t="s">
        <v>224</v>
      </c>
      <c r="AF109" s="9">
        <v>37.4033466</v>
      </c>
      <c r="AG109" s="9">
        <v>-5.9872544</v>
      </c>
    </row>
    <row r="110">
      <c r="A110" s="10">
        <f>'h3'!A43</f>
        <v>109</v>
      </c>
      <c r="B110" t="str">
        <f>'h3'!B43</f>
        <v>Hotel</v>
      </c>
      <c r="C110" t="str">
        <f>'h3'!C43</f>
        <v>Hotel YIT Via Sevilla Mairena</v>
      </c>
      <c r="D110" t="str">
        <f>'h3'!D43</f>
        <v>Publicidad</v>
      </c>
      <c r="E110" s="9">
        <f>'h3'!E43</f>
        <v>1778</v>
      </c>
      <c r="F110" s="9">
        <f>'h3'!F43</f>
        <v>410</v>
      </c>
      <c r="G110" s="9">
        <f>'h3'!G43</f>
        <v>3.7</v>
      </c>
      <c r="H110" s="9">
        <f>'h3'!H43</f>
        <v>3.3</v>
      </c>
      <c r="I110" s="9">
        <f>'h3'!I43</f>
        <v>3.6250457038391226</v>
      </c>
      <c r="J110" s="9">
        <f>'h3'!J43</f>
        <v>0</v>
      </c>
      <c r="K110" s="9">
        <f>'h3'!K43</f>
        <v>0</v>
      </c>
      <c r="L110" s="9">
        <f>'h3'!L43</f>
        <v>0</v>
      </c>
      <c r="M110" s="9">
        <f>'h3'!M43</f>
        <v>0</v>
      </c>
      <c r="N110" s="9">
        <f>'h3'!N43</f>
        <v>0</v>
      </c>
      <c r="O110" s="9">
        <f>'h3'!O43</f>
        <v>0</v>
      </c>
      <c r="P110" s="9">
        <f>'h3'!P43</f>
        <v>6730</v>
      </c>
      <c r="Q110" s="9">
        <f>'h3'!Q43</f>
        <v>0.40000000000000036</v>
      </c>
      <c r="R110" s="9">
        <f>'h3'!R43</f>
        <v>0.07495429616087756</v>
      </c>
      <c r="S110" s="9">
        <f>'h3'!S43</f>
        <v>0.3250457038391228</v>
      </c>
      <c r="T110" s="9">
        <f>'h3'!T43</f>
        <v>0.264739970282318</v>
      </c>
      <c r="U110" s="9">
        <f>'h3'!U43</f>
        <v>12.107824179507817</v>
      </c>
      <c r="V110" s="9">
        <f>'h3'!V43</f>
        <v>0</v>
      </c>
      <c r="W110" s="9">
        <f>'h3'!W43</f>
        <v>0</v>
      </c>
      <c r="X110" s="9">
        <f>'h3'!X43</f>
        <v>0</v>
      </c>
      <c r="Y110" s="9">
        <f>'h3'!Y43</f>
        <v>0</v>
      </c>
      <c r="Z110" s="9">
        <f>'h3'!Z43</f>
        <v>480.5405405405405</v>
      </c>
      <c r="AA110" s="9">
        <f>'h3'!AA43</f>
        <v>218.8</v>
      </c>
      <c r="AB110" s="9">
        <f>'h3'!AB43</f>
        <v>218.8</v>
      </c>
      <c r="AC110" s="9">
        <f>'h3'!AC43</f>
        <v>218.8</v>
      </c>
      <c r="AD110" s="9">
        <f>'h3'!AD43</f>
        <v>178.17</v>
      </c>
      <c r="AE110" s="46" t="s">
        <v>224</v>
      </c>
      <c r="AF110" s="9">
        <v>37.3492265</v>
      </c>
      <c r="AG110" s="9">
        <v>-6.0528989</v>
      </c>
    </row>
    <row r="111">
      <c r="A111" s="10">
        <f>'h3'!A44</f>
        <v>110</v>
      </c>
      <c r="B111" t="str">
        <f>'h3'!B44</f>
        <v>Hotel</v>
      </c>
      <c r="C111" t="str">
        <f>'h3'!C44</f>
        <v>Barceló Sevilla Renacimiento</v>
      </c>
      <c r="D111" t="str">
        <f>'h3'!D44</f>
        <v>Publicidad</v>
      </c>
      <c r="E111" s="9">
        <f>'h3'!E44</f>
        <v>7310</v>
      </c>
      <c r="F111" s="9">
        <f>'h3'!F44</f>
        <v>5670</v>
      </c>
      <c r="G111" s="9">
        <f>'h3'!G44</f>
        <v>4.5</v>
      </c>
      <c r="H111" s="9">
        <f>'h3'!H44</f>
        <v>4.3</v>
      </c>
      <c r="I111" s="9">
        <f>'h3'!I44</f>
        <v>4.412634822804314</v>
      </c>
      <c r="J111" s="9">
        <f>'h3'!J44</f>
        <v>1</v>
      </c>
      <c r="K111" s="9">
        <f>'h3'!K44</f>
        <v>65</v>
      </c>
      <c r="L111" s="9">
        <f>'h3'!L44</f>
        <v>33</v>
      </c>
      <c r="M111" s="9">
        <f>'h3'!M44</f>
        <v>191</v>
      </c>
      <c r="N111" s="9">
        <f>'h3'!N44</f>
        <v>100</v>
      </c>
      <c r="O111" s="9">
        <f>'h3'!O44</f>
        <v>102.9</v>
      </c>
      <c r="P111" s="9">
        <f>'h3'!P44</f>
        <v>2680</v>
      </c>
      <c r="Q111" s="9">
        <f>'h3'!Q44</f>
        <v>0.20000000000000018</v>
      </c>
      <c r="R111" s="9">
        <f>'h3'!R44</f>
        <v>0.08736517719568582</v>
      </c>
      <c r="S111" s="9">
        <f>'h3'!S44</f>
        <v>0.11263482280431436</v>
      </c>
      <c r="T111" s="9">
        <f>'h3'!T44</f>
        <v>2.7292910447761196</v>
      </c>
      <c r="U111" s="9">
        <f>'h3'!U44</f>
        <v>18.1503791437279</v>
      </c>
      <c r="V111" s="9">
        <f>'h3'!V44</f>
        <v>1.2313432835820897</v>
      </c>
      <c r="W111" s="9">
        <f>'h3'!W44</f>
        <v>7.1268656716417915</v>
      </c>
      <c r="X111" s="9">
        <f>'h3'!X44</f>
        <v>3.731343283582089</v>
      </c>
      <c r="Y111" s="9">
        <f>'h3'!Y44</f>
        <v>3.8395522388059704</v>
      </c>
      <c r="Z111" s="9">
        <f>'h3'!Z44</f>
        <v>1624.4444444444443</v>
      </c>
      <c r="AA111" s="9">
        <f>'h3'!AA44</f>
        <v>3.921450151057402</v>
      </c>
      <c r="AB111" s="9">
        <f>'h3'!AB44</f>
        <v>0.6792255363683936</v>
      </c>
      <c r="AC111" s="9">
        <f>'h3'!AC44</f>
        <v>1.2967032967032965</v>
      </c>
      <c r="AD111" s="9">
        <f>'h3'!AD44</f>
        <v>0.7101456310679611</v>
      </c>
      <c r="AE111" s="46" t="s">
        <v>224</v>
      </c>
      <c r="AF111" s="9">
        <v>37.4102639</v>
      </c>
      <c r="AG111" s="9">
        <v>-5.9951049</v>
      </c>
    </row>
    <row r="112">
      <c r="A112" s="10">
        <f>'h3'!A45</f>
        <v>111</v>
      </c>
      <c r="B112" t="str">
        <f>'h3'!B45</f>
        <v>Hotel</v>
      </c>
      <c r="C112" t="str">
        <f>'h3'!C45</f>
        <v>Hilton Garden Inn Sevilla</v>
      </c>
      <c r="D112" t="str">
        <f>'h3'!D45</f>
        <v>Publicidad</v>
      </c>
      <c r="E112" s="9">
        <f>'h3'!E45</f>
        <v>3281</v>
      </c>
      <c r="F112" s="9">
        <f>'h3'!F45</f>
        <v>2947</v>
      </c>
      <c r="G112" s="9">
        <f>'h3'!G45</f>
        <v>4.4</v>
      </c>
      <c r="H112" s="9">
        <f>'h3'!H45</f>
        <v>4.3</v>
      </c>
      <c r="I112" s="9">
        <f>'h3'!I45</f>
        <v>4.3526814386640975</v>
      </c>
      <c r="J112" s="9">
        <f>'h3'!J45</f>
        <v>0</v>
      </c>
      <c r="K112" s="9">
        <f>'h3'!K45</f>
        <v>0</v>
      </c>
      <c r="L112" s="9">
        <f>'h3'!L45</f>
        <v>0</v>
      </c>
      <c r="M112" s="9">
        <f>'h3'!M45</f>
        <v>25</v>
      </c>
      <c r="N112" s="9">
        <f>'h3'!N45</f>
        <v>0</v>
      </c>
      <c r="O112" s="9">
        <f>'h3'!O45</f>
        <v>10</v>
      </c>
      <c r="P112" s="9">
        <f>'h3'!P45</f>
        <v>4940</v>
      </c>
      <c r="Q112" s="9">
        <f>'h3'!Q45</f>
        <v>0.10000000000000053</v>
      </c>
      <c r="R112" s="9">
        <f>'h3'!R45</f>
        <v>0.04731856133590284</v>
      </c>
      <c r="S112" s="9">
        <f>'h3'!S45</f>
        <v>0.05268143866409769</v>
      </c>
      <c r="T112" s="9">
        <f>'h3'!T45</f>
        <v>0.6650607287449393</v>
      </c>
      <c r="U112" s="9">
        <f>'h3'!U45</f>
        <v>16.51559073999951</v>
      </c>
      <c r="V112" s="9">
        <f>'h3'!V45</f>
        <v>0</v>
      </c>
      <c r="W112" s="9">
        <f>'h3'!W45</f>
        <v>0.5060728744939271</v>
      </c>
      <c r="X112" s="9">
        <f>'h3'!X45</f>
        <v>0</v>
      </c>
      <c r="Y112" s="9">
        <f>'h3'!Y45</f>
        <v>0.20242914979757085</v>
      </c>
      <c r="Z112" s="9">
        <f>'h3'!Z45</f>
        <v>745.6818181818181</v>
      </c>
      <c r="AA112" s="9">
        <f>'h3'!AA45</f>
        <v>622.8</v>
      </c>
      <c r="AB112" s="9">
        <f>'h3'!AB45</f>
        <v>2.4812749003984065</v>
      </c>
      <c r="AC112" s="9">
        <f>'h3'!AC45</f>
        <v>622.8</v>
      </c>
      <c r="AD112" s="9">
        <f>'h3'!AD45</f>
        <v>3.252871287128713</v>
      </c>
      <c r="AE112" s="46" t="s">
        <v>224</v>
      </c>
      <c r="AF112" s="9">
        <v>37.4274245</v>
      </c>
      <c r="AG112" s="9">
        <v>-5.9716726</v>
      </c>
    </row>
    <row r="113">
      <c r="A113" s="10">
        <f>'h3'!A46</f>
        <v>112</v>
      </c>
      <c r="B113" t="str">
        <f>'h3'!B46</f>
        <v>Hotel</v>
      </c>
      <c r="C113" t="str">
        <f>'h3'!C46</f>
        <v>B&amp;B HOTEL Sevilla Bormujos</v>
      </c>
      <c r="D113" t="str">
        <f>'h3'!D46</f>
        <v>Publicidad</v>
      </c>
      <c r="E113" s="9">
        <f>'h3'!E46</f>
        <v>314</v>
      </c>
      <c r="F113" s="9">
        <f>'h3'!F46</f>
        <v>4</v>
      </c>
      <c r="G113" s="9">
        <f>'h3'!G46</f>
        <v>4.7</v>
      </c>
      <c r="H113" s="9">
        <f>'h3'!H46</f>
        <v>4.8</v>
      </c>
      <c r="I113" s="9">
        <f>'h3'!I46</f>
        <v>4.70125786163522</v>
      </c>
      <c r="J113" s="9">
        <f>'h3'!J46</f>
        <v>0</v>
      </c>
      <c r="K113" s="9">
        <f>'h3'!K46</f>
        <v>0</v>
      </c>
      <c r="L113" s="9">
        <f>'h3'!L46</f>
        <v>0</v>
      </c>
      <c r="M113" s="9">
        <f>'h3'!M46</f>
        <v>0</v>
      </c>
      <c r="N113" s="9">
        <f>'h3'!N46</f>
        <v>0</v>
      </c>
      <c r="O113" s="9">
        <f>'h3'!O46</f>
        <v>0</v>
      </c>
      <c r="P113" s="9">
        <f>'h3'!P46</f>
        <v>7004</v>
      </c>
      <c r="Q113" s="9">
        <f>'h3'!Q46</f>
        <v>0.09999999999999964</v>
      </c>
      <c r="R113" s="9">
        <f>'h3'!R46</f>
        <v>0.0012578616352199035</v>
      </c>
      <c r="S113" s="9">
        <f>'h3'!S46</f>
        <v>0.09874213836477974</v>
      </c>
      <c r="T113" s="9">
        <f>'h3'!T46</f>
        <v>0.045502569960022846</v>
      </c>
      <c r="U113" s="9">
        <f>'h3'!U46</f>
        <v>11.764555170995996</v>
      </c>
      <c r="V113" s="9">
        <f>'h3'!V46</f>
        <v>0</v>
      </c>
      <c r="W113" s="9">
        <f>'h3'!W46</f>
        <v>0</v>
      </c>
      <c r="X113" s="9">
        <f>'h3'!X46</f>
        <v>0</v>
      </c>
      <c r="Y113" s="9">
        <f>'h3'!Y46</f>
        <v>0</v>
      </c>
      <c r="Z113" s="9">
        <f>'h3'!Z46</f>
        <v>66.80851063829788</v>
      </c>
      <c r="AA113" s="9">
        <f>'h3'!AA46</f>
        <v>31.8</v>
      </c>
      <c r="AB113" s="9">
        <f>'h3'!AB46</f>
        <v>31.8</v>
      </c>
      <c r="AC113" s="9">
        <f>'h3'!AC46</f>
        <v>31.8</v>
      </c>
      <c r="AD113" s="9">
        <f>'h3'!AD46</f>
        <v>31.869999999999994</v>
      </c>
      <c r="AE113" s="46" t="s">
        <v>224</v>
      </c>
      <c r="AF113" s="9">
        <v>37.3801922</v>
      </c>
      <c r="AG113" s="9">
        <v>-6.071918</v>
      </c>
    </row>
    <row r="114">
      <c r="A114" s="10">
        <f>'h4'!A2</f>
        <v>113</v>
      </c>
      <c r="B114" t="str">
        <f>'h4'!B2</f>
        <v>Apartamento</v>
      </c>
      <c r="C114" t="str">
        <f>'h4'!C2</f>
        <v>Aguilas5 Sevilla Suites </v>
      </c>
      <c r="D114" t="str">
        <f>'h4'!D2</f>
        <v>Tripadvisor</v>
      </c>
      <c r="E114" s="9">
        <f>'h4'!E2</f>
        <v>155</v>
      </c>
      <c r="F114" s="9">
        <f>'h4'!F2</f>
        <v>677</v>
      </c>
      <c r="G114" s="9">
        <f>'h4'!G2</f>
        <v>4.9</v>
      </c>
      <c r="H114" s="9">
        <f>'h4'!H2</f>
        <v>5</v>
      </c>
      <c r="I114" s="9">
        <f>'h4'!I2</f>
        <v>4.9813701923076925</v>
      </c>
      <c r="J114" s="9">
        <f>'h4'!J2</f>
        <v>1</v>
      </c>
      <c r="K114" s="9">
        <f>'h4'!K2</f>
        <v>1</v>
      </c>
      <c r="L114" s="9">
        <f>'h4'!L2</f>
        <v>0</v>
      </c>
      <c r="M114" s="9">
        <f>'h4'!M2</f>
        <v>0</v>
      </c>
      <c r="N114" s="9">
        <f>'h4'!N2</f>
        <v>0</v>
      </c>
      <c r="O114" s="9">
        <f>'h4'!O2</f>
        <v>0</v>
      </c>
      <c r="P114" s="9">
        <f>'h4'!P2</f>
        <v>509</v>
      </c>
      <c r="Q114" s="9">
        <f>'h4'!Q2</f>
        <v>0.09999999999999964</v>
      </c>
      <c r="R114" s="9">
        <f>'h4'!R2</f>
        <v>0.018629807692307487</v>
      </c>
      <c r="S114" s="9">
        <f>'h4'!S2</f>
        <v>0.018629807692307487</v>
      </c>
      <c r="T114" s="9">
        <f>'h4'!T2</f>
        <v>1.6345776031434185</v>
      </c>
      <c r="U114" s="9">
        <f>'h4'!U2</f>
        <v>14.546215295447002</v>
      </c>
      <c r="V114" s="9">
        <f>'h4'!V2</f>
        <v>0</v>
      </c>
      <c r="W114" s="9">
        <f>'h4'!W2</f>
        <v>0</v>
      </c>
      <c r="X114" s="9">
        <f>'h4'!X2</f>
        <v>0</v>
      </c>
      <c r="Y114" s="9">
        <f>'h4'!Y2</f>
        <v>0</v>
      </c>
      <c r="Z114" s="9">
        <f>'h4'!Z2</f>
        <v>0.22895125553914328</v>
      </c>
      <c r="AA114" s="9">
        <f>'h4'!AA2</f>
        <v>83.2</v>
      </c>
      <c r="AB114" s="9">
        <f>'h4'!AB2</f>
        <v>83.2</v>
      </c>
      <c r="AC114" s="9">
        <f>'h4'!AC2</f>
        <v>83.2</v>
      </c>
      <c r="AD114" s="9">
        <f>'h4'!AD2</f>
        <v>83.2</v>
      </c>
      <c r="AE114" s="46" t="s">
        <v>220</v>
      </c>
      <c r="AF114" s="9">
        <v>37.389937</v>
      </c>
      <c r="AG114" s="9">
        <v>-5.989295</v>
      </c>
    </row>
    <row r="115">
      <c r="A115" s="10">
        <f>'h4'!A3</f>
        <v>114</v>
      </c>
      <c r="B115" t="str">
        <f>'h4'!B3</f>
        <v>Apartamento</v>
      </c>
      <c r="C115" t="str">
        <f>'h4'!C3</f>
        <v>Vincci Molviedro Suites Apartments </v>
      </c>
      <c r="D115" t="str">
        <f>'h4'!D3</f>
        <v>Tripadvisor</v>
      </c>
      <c r="E115" s="9">
        <f>'h4'!E3</f>
        <v>77</v>
      </c>
      <c r="F115" s="9">
        <f>'h4'!F3</f>
        <v>106</v>
      </c>
      <c r="G115" s="9">
        <f>'h4'!G3</f>
        <v>4.8</v>
      </c>
      <c r="H115" s="9">
        <f>'h4'!H3</f>
        <v>4.9</v>
      </c>
      <c r="I115" s="9">
        <f>'h4'!I3</f>
        <v>4.85792349726776</v>
      </c>
      <c r="J115" s="9">
        <f>'h4'!J3</f>
        <v>1</v>
      </c>
      <c r="K115" s="9">
        <f>'h4'!K3</f>
        <v>2</v>
      </c>
      <c r="L115" s="9">
        <f>'h4'!L3</f>
        <v>0</v>
      </c>
      <c r="M115" s="9">
        <f>'h4'!M3</f>
        <v>0</v>
      </c>
      <c r="N115" s="9">
        <f>'h4'!N3</f>
        <v>0</v>
      </c>
      <c r="O115" s="9">
        <f>'h4'!O3</f>
        <v>0</v>
      </c>
      <c r="P115" s="9">
        <f>'h4'!P3</f>
        <v>500</v>
      </c>
      <c r="Q115" s="9">
        <f>'h4'!Q3</f>
        <v>0.10000000000000053</v>
      </c>
      <c r="R115" s="9">
        <f>'h4'!R3</f>
        <v>0.05792349726776003</v>
      </c>
      <c r="S115" s="9">
        <f>'h4'!S3</f>
        <v>0.042076502732240506</v>
      </c>
      <c r="T115" s="9">
        <f>'h4'!T3</f>
        <v>0.366</v>
      </c>
      <c r="U115" s="9">
        <f>'h4'!U3</f>
        <v>10.990814310220502</v>
      </c>
      <c r="V115" s="9">
        <f>'h4'!V3</f>
        <v>0</v>
      </c>
      <c r="W115" s="9">
        <f>'h4'!W3</f>
        <v>0</v>
      </c>
      <c r="X115" s="9">
        <f>'h4'!X3</f>
        <v>0</v>
      </c>
      <c r="Y115" s="9">
        <f>'h4'!Y3</f>
        <v>0</v>
      </c>
      <c r="Z115" s="9">
        <f>'h4'!Z3</f>
        <v>0.7264150943396226</v>
      </c>
      <c r="AA115" s="9">
        <f>'h4'!AA3</f>
        <v>18.3</v>
      </c>
      <c r="AB115" s="9">
        <f>'h4'!AB3</f>
        <v>18.3</v>
      </c>
      <c r="AC115" s="9">
        <f>'h4'!AC3</f>
        <v>18.3</v>
      </c>
      <c r="AD115" s="9">
        <f>'h4'!AD3</f>
        <v>18.3</v>
      </c>
      <c r="AE115" s="46" t="s">
        <v>220</v>
      </c>
      <c r="AF115" s="9">
        <v>37.387966</v>
      </c>
      <c r="AG115" s="9">
        <v>-5.9978447</v>
      </c>
    </row>
    <row r="116">
      <c r="A116" s="10">
        <f>'h4'!A4</f>
        <v>115</v>
      </c>
      <c r="B116" t="str">
        <f>'h4'!B4</f>
        <v>Apartamento</v>
      </c>
      <c r="C116" t="str">
        <f>'h4'!C4</f>
        <v>Mylu Suites by Puerta Catedral </v>
      </c>
      <c r="D116" t="str">
        <f>'h4'!D4</f>
        <v>Tripadvisor</v>
      </c>
      <c r="E116" s="9">
        <f>'h4'!E4</f>
        <v>22</v>
      </c>
      <c r="F116" s="9">
        <f>'h4'!F4</f>
        <v>142</v>
      </c>
      <c r="G116" s="9">
        <f>'h4'!G4</f>
        <v>4.9</v>
      </c>
      <c r="H116" s="9">
        <f>'h4'!H4</f>
        <v>4.9</v>
      </c>
      <c r="I116" s="9">
        <f>'h4'!I4</f>
        <v>4.900000000000001</v>
      </c>
      <c r="J116" s="9">
        <f>'h4'!J4</f>
        <v>1</v>
      </c>
      <c r="K116" s="9">
        <f>'h4'!K4</f>
        <v>3</v>
      </c>
      <c r="L116" s="9">
        <f>'h4'!L4</f>
        <v>0</v>
      </c>
      <c r="M116" s="9">
        <f>'h4'!M4</f>
        <v>0</v>
      </c>
      <c r="N116" s="9">
        <f>'h4'!N4</f>
        <v>0</v>
      </c>
      <c r="O116" s="9">
        <f>'h4'!O4</f>
        <v>0</v>
      </c>
      <c r="P116" s="9">
        <f>'h4'!P4</f>
        <v>535</v>
      </c>
      <c r="Q116" s="9">
        <f>'h4'!Q4</f>
        <v>0</v>
      </c>
      <c r="R116" s="9">
        <f>'h4'!R4</f>
        <v>8.881784197001252E-16</v>
      </c>
      <c r="S116" s="9">
        <f>'h4'!S4</f>
        <v>8.881784197001252E-16</v>
      </c>
      <c r="T116" s="9">
        <f>'h4'!T4</f>
        <v>0.30654205607476637</v>
      </c>
      <c r="U116" s="9">
        <f>'h4'!U4</f>
        <v>10.852734855433722</v>
      </c>
      <c r="V116" s="9">
        <f>'h4'!V4</f>
        <v>0</v>
      </c>
      <c r="W116" s="9">
        <f>'h4'!W4</f>
        <v>0</v>
      </c>
      <c r="X116" s="9">
        <f>'h4'!X4</f>
        <v>0</v>
      </c>
      <c r="Y116" s="9">
        <f>'h4'!Y4</f>
        <v>0</v>
      </c>
      <c r="Z116" s="9">
        <f>'h4'!Z4</f>
        <v>0.15492957746478872</v>
      </c>
      <c r="AA116" s="9">
        <f>'h4'!AA4</f>
        <v>16.4</v>
      </c>
      <c r="AB116" s="9">
        <f>'h4'!AB4</f>
        <v>16.4</v>
      </c>
      <c r="AC116" s="9">
        <f>'h4'!AC4</f>
        <v>16.4</v>
      </c>
      <c r="AD116" s="9">
        <f>'h4'!AD4</f>
        <v>16.4</v>
      </c>
      <c r="AE116" s="46" t="s">
        <v>220</v>
      </c>
      <c r="AF116" s="9">
        <v>37.3885704</v>
      </c>
      <c r="AG116" s="9">
        <v>-5.997875</v>
      </c>
    </row>
    <row r="117">
      <c r="A117" s="10">
        <f>'h4'!A5</f>
        <v>116</v>
      </c>
      <c r="B117" t="str">
        <f>'h4'!B5</f>
        <v>Apartamento</v>
      </c>
      <c r="C117" t="str">
        <f>'h4'!C5</f>
        <v>Suites Murillo Alcázar </v>
      </c>
      <c r="D117" t="str">
        <f>'h4'!D5</f>
        <v>Tripadvisor</v>
      </c>
      <c r="E117" s="9">
        <f>'h4'!E5</f>
        <v>81</v>
      </c>
      <c r="F117" s="9">
        <f>'h4'!F5</f>
        <v>312</v>
      </c>
      <c r="G117" s="9">
        <f>'h4'!G5</f>
        <v>4.6</v>
      </c>
      <c r="H117" s="9">
        <f>'h4'!H5</f>
        <v>4.8</v>
      </c>
      <c r="I117" s="9">
        <f>'h4'!I5</f>
        <v>4.758778625954198</v>
      </c>
      <c r="J117" s="9">
        <f>'h4'!J5</f>
        <v>1</v>
      </c>
      <c r="K117" s="9">
        <f>'h4'!K5</f>
        <v>4</v>
      </c>
      <c r="L117" s="9">
        <f>'h4'!L5</f>
        <v>0</v>
      </c>
      <c r="M117" s="9">
        <f>'h4'!M5</f>
        <v>0</v>
      </c>
      <c r="N117" s="9">
        <f>'h4'!N5</f>
        <v>0</v>
      </c>
      <c r="O117" s="9">
        <f>'h4'!O5</f>
        <v>0</v>
      </c>
      <c r="P117" s="9">
        <f>'h4'!P5</f>
        <v>212</v>
      </c>
      <c r="Q117" s="9">
        <f>'h4'!Q5</f>
        <v>0.20000000000000018</v>
      </c>
      <c r="R117" s="9">
        <f>'h4'!R5</f>
        <v>0.15877862595419856</v>
      </c>
      <c r="S117" s="9">
        <f>'h4'!S5</f>
        <v>0.04122137404580162</v>
      </c>
      <c r="T117" s="9">
        <f>'h4'!T5</f>
        <v>1.8537735849056605</v>
      </c>
      <c r="U117" s="9">
        <f>'h4'!U5</f>
        <v>12.346139816061381</v>
      </c>
      <c r="V117" s="9">
        <f>'h4'!V5</f>
        <v>0</v>
      </c>
      <c r="W117" s="9">
        <f>'h4'!W5</f>
        <v>0</v>
      </c>
      <c r="X117" s="9">
        <f>'h4'!X5</f>
        <v>0</v>
      </c>
      <c r="Y117" s="9">
        <f>'h4'!Y5</f>
        <v>0</v>
      </c>
      <c r="Z117" s="9">
        <f>'h4'!Z5</f>
        <v>0.25961538461538464</v>
      </c>
      <c r="AA117" s="9">
        <f>'h4'!AA5</f>
        <v>39.3</v>
      </c>
      <c r="AB117" s="9">
        <f>'h4'!AB5</f>
        <v>39.3</v>
      </c>
      <c r="AC117" s="9">
        <f>'h4'!AC5</f>
        <v>39.3</v>
      </c>
      <c r="AD117" s="9">
        <f>'h4'!AD5</f>
        <v>39.3</v>
      </c>
      <c r="AE117" s="46" t="s">
        <v>220</v>
      </c>
      <c r="AF117" s="9">
        <v>37.384275</v>
      </c>
      <c r="AG117" s="9">
        <v>-5.9923959</v>
      </c>
    </row>
    <row r="118">
      <c r="A118" s="10">
        <f>'h4'!A6</f>
        <v>117</v>
      </c>
      <c r="B118" t="str">
        <f>'h4'!B6</f>
        <v>Apartamento</v>
      </c>
      <c r="C118" t="str">
        <f>'h4'!C6</f>
        <v>Puerta Catedral Apartments </v>
      </c>
      <c r="D118" t="str">
        <f>'h4'!D6</f>
        <v>Tripadvisor</v>
      </c>
      <c r="E118" s="9">
        <f>'h4'!E6</f>
        <v>30</v>
      </c>
      <c r="F118" s="9">
        <f>'h4'!F6</f>
        <v>469</v>
      </c>
      <c r="G118" s="9">
        <f>'h4'!G6</f>
        <v>4.7</v>
      </c>
      <c r="H118" s="9">
        <f>'h4'!H6</f>
        <v>4.6</v>
      </c>
      <c r="I118" s="9">
        <f>'h4'!I6</f>
        <v>4.606012024048096</v>
      </c>
      <c r="J118" s="9">
        <f>'h4'!J6</f>
        <v>1</v>
      </c>
      <c r="K118" s="9">
        <f>'h4'!K6</f>
        <v>5</v>
      </c>
      <c r="L118" s="9">
        <f>'h4'!L6</f>
        <v>0</v>
      </c>
      <c r="M118" s="9">
        <f>'h4'!M6</f>
        <v>0</v>
      </c>
      <c r="N118" s="9">
        <f>'h4'!N6</f>
        <v>0</v>
      </c>
      <c r="O118" s="9">
        <f>'h4'!O6</f>
        <v>0</v>
      </c>
      <c r="P118" s="9">
        <f>'h4'!P6</f>
        <v>97</v>
      </c>
      <c r="Q118" s="9">
        <f>'h4'!Q6</f>
        <v>0.10000000000000053</v>
      </c>
      <c r="R118" s="9">
        <f>'h4'!R6</f>
        <v>0.09398797595190445</v>
      </c>
      <c r="S118" s="9">
        <f>'h4'!S6</f>
        <v>0.006012024048096087</v>
      </c>
      <c r="T118" s="9">
        <f>'h4'!T6</f>
        <v>5.144329896907217</v>
      </c>
      <c r="U118" s="9">
        <f>'h4'!U6</f>
        <v>12.427483555232062</v>
      </c>
      <c r="V118" s="9">
        <f>'h4'!V6</f>
        <v>0</v>
      </c>
      <c r="W118" s="9">
        <f>'h4'!W6</f>
        <v>0</v>
      </c>
      <c r="X118" s="9">
        <f>'h4'!X6</f>
        <v>0</v>
      </c>
      <c r="Y118" s="9">
        <f>'h4'!Y6</f>
        <v>0</v>
      </c>
      <c r="Z118" s="9">
        <f>'h4'!Z6</f>
        <v>0.06396588486140725</v>
      </c>
      <c r="AA118" s="9">
        <f>'h4'!AA6</f>
        <v>49.9</v>
      </c>
      <c r="AB118" s="9">
        <f>'h4'!AB6</f>
        <v>49.9</v>
      </c>
      <c r="AC118" s="9">
        <f>'h4'!AC6</f>
        <v>49.9</v>
      </c>
      <c r="AD118" s="9">
        <f>'h4'!AD6</f>
        <v>49.9</v>
      </c>
      <c r="AE118" s="46" t="s">
        <v>220</v>
      </c>
      <c r="AF118" s="9">
        <v>37.3868756</v>
      </c>
      <c r="AG118" s="9">
        <v>-5.9932348</v>
      </c>
    </row>
    <row r="119">
      <c r="A119" s="10">
        <f>'h4'!A7</f>
        <v>118</v>
      </c>
      <c r="B119" t="str">
        <f>'h4'!B7</f>
        <v>Apartamento</v>
      </c>
      <c r="C119" t="str">
        <f>'h4'!C7</f>
        <v>Suites Murillo Plaza de Santa Cruz </v>
      </c>
      <c r="D119" t="str">
        <f>'h4'!D7</f>
        <v>Tripadvisor</v>
      </c>
      <c r="E119" s="9">
        <f>'h4'!E7</f>
        <v>188</v>
      </c>
      <c r="F119" s="9">
        <f>'h4'!F7</f>
        <v>249</v>
      </c>
      <c r="G119" s="9">
        <f>'h4'!G7</f>
        <v>4.7</v>
      </c>
      <c r="H119" s="9">
        <f>'h4'!H7</f>
        <v>4.8</v>
      </c>
      <c r="I119" s="9">
        <f>'h4'!I7</f>
        <v>4.7569794050343255</v>
      </c>
      <c r="J119" s="9">
        <f>'h4'!J7</f>
        <v>1</v>
      </c>
      <c r="K119" s="9">
        <f>'h4'!K7</f>
        <v>6</v>
      </c>
      <c r="L119" s="9">
        <f>'h4'!L7</f>
        <v>0</v>
      </c>
      <c r="M119" s="9">
        <f>'h4'!M7</f>
        <v>0</v>
      </c>
      <c r="N119" s="9">
        <f>'h4'!N7</f>
        <v>0</v>
      </c>
      <c r="O119" s="9">
        <f>'h4'!O7</f>
        <v>0</v>
      </c>
      <c r="P119" s="9">
        <f>'h4'!P7</f>
        <v>374</v>
      </c>
      <c r="Q119" s="9">
        <f>'h4'!Q7</f>
        <v>0.09999999999999964</v>
      </c>
      <c r="R119" s="9">
        <f>'h4'!R7</f>
        <v>0.0569794050343253</v>
      </c>
      <c r="S119" s="9">
        <f>'h4'!S7</f>
        <v>0.04302059496567434</v>
      </c>
      <c r="T119" s="9">
        <f>'h4'!T7</f>
        <v>1.1684491978609626</v>
      </c>
      <c r="U119" s="9">
        <f>'h4'!U7</f>
        <v>12.56071581504374</v>
      </c>
      <c r="V119" s="9">
        <f>'h4'!V7</f>
        <v>0</v>
      </c>
      <c r="W119" s="9">
        <f>'h4'!W7</f>
        <v>0</v>
      </c>
      <c r="X119" s="9">
        <f>'h4'!X7</f>
        <v>0</v>
      </c>
      <c r="Y119" s="9">
        <f>'h4'!Y7</f>
        <v>0</v>
      </c>
      <c r="Z119" s="9">
        <f>'h4'!Z7</f>
        <v>0.7550200803212851</v>
      </c>
      <c r="AA119" s="9">
        <f>'h4'!AA7</f>
        <v>43.7</v>
      </c>
      <c r="AB119" s="9">
        <f>'h4'!AB7</f>
        <v>43.7</v>
      </c>
      <c r="AC119" s="9">
        <f>'h4'!AC7</f>
        <v>43.7</v>
      </c>
      <c r="AD119" s="9">
        <f>'h4'!AD7</f>
        <v>43.7</v>
      </c>
      <c r="AE119" s="46" t="s">
        <v>220</v>
      </c>
      <c r="AF119" s="9">
        <v>37.3849278</v>
      </c>
      <c r="AG119" s="9">
        <v>-5.9886861</v>
      </c>
    </row>
    <row r="120">
      <c r="A120" s="10">
        <f>'h4'!A8</f>
        <v>119</v>
      </c>
      <c r="B120" t="str">
        <f>'h4'!B8</f>
        <v>Apartamento</v>
      </c>
      <c r="C120" t="str">
        <f>'h4'!C8</f>
        <v>Suites Murillo Catedral </v>
      </c>
      <c r="D120" t="str">
        <f>'h4'!D8</f>
        <v>Tripadvisor</v>
      </c>
      <c r="E120" s="9">
        <f>'h4'!E8</f>
        <v>179</v>
      </c>
      <c r="F120" s="9">
        <f>'h4'!F8</f>
        <v>569</v>
      </c>
      <c r="G120" s="9">
        <f>'h4'!G8</f>
        <v>4.6</v>
      </c>
      <c r="H120" s="9">
        <f>'h4'!H8</f>
        <v>4.7</v>
      </c>
      <c r="I120" s="9">
        <f>'h4'!I8</f>
        <v>4.676069518716578</v>
      </c>
      <c r="J120" s="9">
        <f>'h4'!J8</f>
        <v>1</v>
      </c>
      <c r="K120" s="9">
        <f>'h4'!K8</f>
        <v>7</v>
      </c>
      <c r="L120" s="9">
        <f>'h4'!L8</f>
        <v>0</v>
      </c>
      <c r="M120" s="9">
        <f>'h4'!M8</f>
        <v>0</v>
      </c>
      <c r="N120" s="9">
        <f>'h4'!N8</f>
        <v>0</v>
      </c>
      <c r="O120" s="9">
        <f>'h4'!O8</f>
        <v>0</v>
      </c>
      <c r="P120" s="9">
        <f>'h4'!P8</f>
        <v>158</v>
      </c>
      <c r="Q120" s="9">
        <f>'h4'!Q8</f>
        <v>0.10000000000000053</v>
      </c>
      <c r="R120" s="9">
        <f>'h4'!R8</f>
        <v>0.07606951871657852</v>
      </c>
      <c r="S120" s="9">
        <f>'h4'!S8</f>
        <v>0.02393048128342201</v>
      </c>
      <c r="T120" s="9">
        <f>'h4'!T8</f>
        <v>4.734177215189874</v>
      </c>
      <c r="U120" s="9">
        <f>'h4'!U8</f>
        <v>13.438563661564878</v>
      </c>
      <c r="V120" s="9">
        <f>'h4'!V8</f>
        <v>0</v>
      </c>
      <c r="W120" s="9">
        <f>'h4'!W8</f>
        <v>0</v>
      </c>
      <c r="X120" s="9">
        <f>'h4'!X8</f>
        <v>0</v>
      </c>
      <c r="Y120" s="9">
        <f>'h4'!Y8</f>
        <v>0</v>
      </c>
      <c r="Z120" s="9">
        <f>'h4'!Z8</f>
        <v>0.3145869947275923</v>
      </c>
      <c r="AA120" s="9">
        <f>'h4'!AA8</f>
        <v>74.8</v>
      </c>
      <c r="AB120" s="9">
        <f>'h4'!AB8</f>
        <v>74.8</v>
      </c>
      <c r="AC120" s="9">
        <f>'h4'!AC8</f>
        <v>74.8</v>
      </c>
      <c r="AD120" s="9">
        <f>'h4'!AD8</f>
        <v>74.8</v>
      </c>
      <c r="AE120" s="46" t="s">
        <v>220</v>
      </c>
      <c r="AF120" s="9">
        <v>37.3874724</v>
      </c>
      <c r="AG120" s="9">
        <v>-5.9919047</v>
      </c>
    </row>
    <row r="121">
      <c r="A121" s="10">
        <f>'h4'!A9</f>
        <v>120</v>
      </c>
      <c r="B121" t="str">
        <f>'h4'!B9</f>
        <v>Apartamento</v>
      </c>
      <c r="C121" t="str">
        <f>'h4'!C9</f>
        <v>Suites Sevilla Plaza </v>
      </c>
      <c r="D121" t="str">
        <f>'h4'!D9</f>
        <v>Tripadvisor</v>
      </c>
      <c r="E121" s="9">
        <f>'h4'!E9</f>
        <v>241</v>
      </c>
      <c r="F121" s="9">
        <f>'h4'!F9</f>
        <v>443</v>
      </c>
      <c r="G121" s="9">
        <f>'h4'!G9</f>
        <v>4.6</v>
      </c>
      <c r="H121" s="9">
        <f>'h4'!H9</f>
        <v>4.6</v>
      </c>
      <c r="I121" s="9">
        <f>'h4'!I9</f>
        <v>4.6</v>
      </c>
      <c r="J121" s="9">
        <f>'h4'!J9</f>
        <v>1</v>
      </c>
      <c r="K121" s="9">
        <f>'h4'!K9</f>
        <v>8</v>
      </c>
      <c r="L121" s="9">
        <f>'h4'!L9</f>
        <v>0</v>
      </c>
      <c r="M121" s="9">
        <f>'h4'!M9</f>
        <v>0</v>
      </c>
      <c r="N121" s="9">
        <f>'h4'!N9</f>
        <v>0</v>
      </c>
      <c r="O121" s="9">
        <f>'h4'!O9</f>
        <v>0</v>
      </c>
      <c r="P121" s="9">
        <f>'h4'!P9</f>
        <v>406</v>
      </c>
      <c r="Q121" s="9">
        <f>'h4'!Q9</f>
        <v>0</v>
      </c>
      <c r="R121" s="9">
        <f>'h4'!R9</f>
        <v>0</v>
      </c>
      <c r="S121" s="9">
        <f>'h4'!S9</f>
        <v>0</v>
      </c>
      <c r="T121" s="9">
        <f>'h4'!T9</f>
        <v>1.6847290640394088</v>
      </c>
      <c r="U121" s="9">
        <f>'h4'!U9</f>
        <v>13.041258067912533</v>
      </c>
      <c r="V121" s="9">
        <f>'h4'!V9</f>
        <v>0</v>
      </c>
      <c r="W121" s="9">
        <f>'h4'!W9</f>
        <v>0</v>
      </c>
      <c r="X121" s="9">
        <f>'h4'!X9</f>
        <v>0</v>
      </c>
      <c r="Y121" s="9">
        <f>'h4'!Y9</f>
        <v>0</v>
      </c>
      <c r="Z121" s="9">
        <f>'h4'!Z9</f>
        <v>0.5440180586907449</v>
      </c>
      <c r="AA121" s="9">
        <f>'h4'!AA9</f>
        <v>68.4</v>
      </c>
      <c r="AB121" s="9">
        <f>'h4'!AB9</f>
        <v>68.4</v>
      </c>
      <c r="AC121" s="9">
        <f>'h4'!AC9</f>
        <v>68.4</v>
      </c>
      <c r="AD121" s="9">
        <f>'h4'!AD9</f>
        <v>68.4</v>
      </c>
      <c r="AE121" s="46" t="s">
        <v>220</v>
      </c>
      <c r="AF121" s="9">
        <v>37.3879166</v>
      </c>
      <c r="AG121" s="9">
        <v>-5.9966951</v>
      </c>
    </row>
    <row r="122">
      <c r="A122" s="10">
        <f>'h4'!A10</f>
        <v>121</v>
      </c>
      <c r="B122" t="str">
        <f>'h4'!B10</f>
        <v>Apartamento</v>
      </c>
      <c r="C122" t="str">
        <f>'h4'!C10</f>
        <v>Puerta Catedral Suites </v>
      </c>
      <c r="D122" t="str">
        <f>'h4'!D10</f>
        <v>Tripadvisor</v>
      </c>
      <c r="E122" s="9">
        <f>'h4'!E10</f>
        <v>77</v>
      </c>
      <c r="F122" s="9">
        <f>'h4'!F10</f>
        <v>274</v>
      </c>
      <c r="G122" s="9">
        <f>'h4'!G10</f>
        <v>4.8</v>
      </c>
      <c r="H122" s="9">
        <f>'h4'!H10</f>
        <v>4.6</v>
      </c>
      <c r="I122" s="9">
        <f>'h4'!I10</f>
        <v>4.643874643874644</v>
      </c>
      <c r="J122" s="9">
        <f>'h4'!J10</f>
        <v>1</v>
      </c>
      <c r="K122" s="9">
        <f>'h4'!K10</f>
        <v>9</v>
      </c>
      <c r="L122" s="9">
        <f>'h4'!L10</f>
        <v>0</v>
      </c>
      <c r="M122" s="9">
        <f>'h4'!M10</f>
        <v>0</v>
      </c>
      <c r="N122" s="9">
        <f>'h4'!N10</f>
        <v>0</v>
      </c>
      <c r="O122" s="9">
        <f>'h4'!O10</f>
        <v>0</v>
      </c>
      <c r="P122" s="9">
        <f>'h4'!P10</f>
        <v>138</v>
      </c>
      <c r="Q122" s="9">
        <f>'h4'!Q10</f>
        <v>0.20000000000000018</v>
      </c>
      <c r="R122" s="9">
        <f>'h4'!R10</f>
        <v>0.15612535612535616</v>
      </c>
      <c r="S122" s="9">
        <f>'h4'!S10</f>
        <v>0.043874643874644015</v>
      </c>
      <c r="T122" s="9">
        <f>'h4'!T10</f>
        <v>2.5434782608695654</v>
      </c>
      <c r="U122" s="9">
        <f>'h4'!U10</f>
        <v>11.820087179029324</v>
      </c>
      <c r="V122" s="9">
        <f>'h4'!V10</f>
        <v>0</v>
      </c>
      <c r="W122" s="9">
        <f>'h4'!W10</f>
        <v>0</v>
      </c>
      <c r="X122" s="9">
        <f>'h4'!X10</f>
        <v>0</v>
      </c>
      <c r="Y122" s="9">
        <f>'h4'!Y10</f>
        <v>0</v>
      </c>
      <c r="Z122" s="9">
        <f>'h4'!Z10</f>
        <v>0.28102189781021897</v>
      </c>
      <c r="AA122" s="9">
        <f>'h4'!AA10</f>
        <v>35.1</v>
      </c>
      <c r="AB122" s="9">
        <f>'h4'!AB10</f>
        <v>35.1</v>
      </c>
      <c r="AC122" s="9">
        <f>'h4'!AC10</f>
        <v>35.1</v>
      </c>
      <c r="AD122" s="9">
        <f>'h4'!AD10</f>
        <v>35.1</v>
      </c>
      <c r="AE122" s="46" t="s">
        <v>220</v>
      </c>
      <c r="AF122" s="9">
        <v>37.3857625</v>
      </c>
      <c r="AG122" s="9">
        <v>-5.9941311</v>
      </c>
    </row>
    <row r="123">
      <c r="A123" s="10">
        <f>'h4'!A11</f>
        <v>122</v>
      </c>
      <c r="B123" t="str">
        <f>'h4'!B11</f>
        <v>Apartamento</v>
      </c>
      <c r="C123" t="str">
        <f>'h4'!C11</f>
        <v>Triana House </v>
      </c>
      <c r="D123" t="str">
        <f>'h4'!D11</f>
        <v>Tripadvisor</v>
      </c>
      <c r="E123" s="9">
        <f>'h4'!E11</f>
        <v>176</v>
      </c>
      <c r="F123" s="9">
        <f>'h4'!F11</f>
        <v>164</v>
      </c>
      <c r="G123" s="9">
        <f>'h4'!G11</f>
        <v>4.8</v>
      </c>
      <c r="H123" s="9">
        <f>'h4'!H11</f>
        <v>4.6</v>
      </c>
      <c r="I123" s="9">
        <f>'h4'!I11</f>
        <v>4.7035294117647055</v>
      </c>
      <c r="J123" s="9">
        <f>'h4'!J11</f>
        <v>1</v>
      </c>
      <c r="K123" s="9">
        <f>'h4'!K11</f>
        <v>10</v>
      </c>
      <c r="L123" s="9">
        <f>'h4'!L11</f>
        <v>0</v>
      </c>
      <c r="M123" s="9">
        <f>'h4'!M11</f>
        <v>0</v>
      </c>
      <c r="N123" s="9">
        <f>'h4'!N11</f>
        <v>0</v>
      </c>
      <c r="O123" s="9">
        <f>'h4'!O11</f>
        <v>0</v>
      </c>
      <c r="P123" s="9">
        <f>'h4'!P11</f>
        <v>856</v>
      </c>
      <c r="Q123" s="9">
        <f>'h4'!Q11</f>
        <v>0.20000000000000018</v>
      </c>
      <c r="R123" s="9">
        <f>'h4'!R11</f>
        <v>0.09647058823529431</v>
      </c>
      <c r="S123" s="9">
        <f>'h4'!S11</f>
        <v>0.10352941176470587</v>
      </c>
      <c r="T123" s="9">
        <f>'h4'!T11</f>
        <v>0.397196261682243</v>
      </c>
      <c r="U123" s="9">
        <f>'h4'!U11</f>
        <v>11.90688554157051</v>
      </c>
      <c r="V123" s="9">
        <f>'h4'!V11</f>
        <v>0</v>
      </c>
      <c r="W123" s="9">
        <f>'h4'!W11</f>
        <v>0</v>
      </c>
      <c r="X123" s="9">
        <f>'h4'!X11</f>
        <v>0</v>
      </c>
      <c r="Y123" s="9">
        <f>'h4'!Y11</f>
        <v>0</v>
      </c>
      <c r="Z123" s="9">
        <f>'h4'!Z11</f>
        <v>1.0731707317073171</v>
      </c>
      <c r="AA123" s="9">
        <f>'h4'!AA11</f>
        <v>34</v>
      </c>
      <c r="AB123" s="9">
        <f>'h4'!AB11</f>
        <v>34</v>
      </c>
      <c r="AC123" s="9">
        <f>'h4'!AC11</f>
        <v>34</v>
      </c>
      <c r="AD123" s="9">
        <f>'h4'!AD11</f>
        <v>34</v>
      </c>
      <c r="AE123" s="46" t="s">
        <v>220</v>
      </c>
      <c r="AF123" s="9">
        <v>37.3819887</v>
      </c>
      <c r="AG123" s="9">
        <v>-6.0007008</v>
      </c>
    </row>
    <row r="124">
      <c r="A124" s="10">
        <f>'h4'!A12</f>
        <v>123</v>
      </c>
      <c r="B124" t="str">
        <f>'h4'!B12</f>
        <v>Apartamento</v>
      </c>
      <c r="C124" t="str">
        <f>'h4'!C12</f>
        <v>Mercer Residences Sevilla </v>
      </c>
      <c r="D124" t="str">
        <f>'h4'!D12</f>
        <v>Tripadvisor</v>
      </c>
      <c r="E124" s="9">
        <f>'h4'!E12</f>
        <v>37</v>
      </c>
      <c r="F124" s="9">
        <f>'h4'!F12</f>
        <v>60</v>
      </c>
      <c r="G124" s="9">
        <f>'h4'!G12</f>
        <v>4.9</v>
      </c>
      <c r="H124" s="9">
        <f>'h4'!H12</f>
        <v>4.9</v>
      </c>
      <c r="I124" s="9">
        <f>'h4'!I12</f>
        <v>4.9</v>
      </c>
      <c r="J124" s="9">
        <f>'h4'!J12</f>
        <v>1</v>
      </c>
      <c r="K124" s="9">
        <f>'h4'!K12</f>
        <v>11</v>
      </c>
      <c r="L124" s="9">
        <f>'h4'!L12</f>
        <v>0</v>
      </c>
      <c r="M124" s="9">
        <f>'h4'!M12</f>
        <v>0</v>
      </c>
      <c r="N124" s="9">
        <f>'h4'!N12</f>
        <v>0</v>
      </c>
      <c r="O124" s="9">
        <f>'h4'!O12</f>
        <v>0</v>
      </c>
      <c r="P124" s="9">
        <f>'h4'!P12</f>
        <v>878</v>
      </c>
      <c r="Q124" s="9">
        <f>'h4'!Q12</f>
        <v>0</v>
      </c>
      <c r="R124" s="9">
        <f>'h4'!R12</f>
        <v>0</v>
      </c>
      <c r="S124" s="9">
        <f>'h4'!S12</f>
        <v>0</v>
      </c>
      <c r="T124" s="9">
        <f>'h4'!T12</f>
        <v>0.11047835990888383</v>
      </c>
      <c r="U124" s="9">
        <f>'h4'!U12</f>
        <v>9.7351814979046</v>
      </c>
      <c r="V124" s="9">
        <f>'h4'!V12</f>
        <v>0</v>
      </c>
      <c r="W124" s="9">
        <f>'h4'!W12</f>
        <v>0</v>
      </c>
      <c r="X124" s="9">
        <f>'h4'!X12</f>
        <v>0</v>
      </c>
      <c r="Y124" s="9">
        <f>'h4'!Y12</f>
        <v>0</v>
      </c>
      <c r="Z124" s="9">
        <f>'h4'!Z12</f>
        <v>0.6166666666666667</v>
      </c>
      <c r="AA124" s="9">
        <f>'h4'!AA12</f>
        <v>9.7</v>
      </c>
      <c r="AB124" s="9">
        <f>'h4'!AB12</f>
        <v>9.7</v>
      </c>
      <c r="AC124" s="9">
        <f>'h4'!AC12</f>
        <v>9.7</v>
      </c>
      <c r="AD124" s="9">
        <f>'h4'!AD12</f>
        <v>9.7</v>
      </c>
      <c r="AE124" s="46" t="s">
        <v>220</v>
      </c>
      <c r="AF124" s="9">
        <v>37.3938794</v>
      </c>
      <c r="AG124" s="9">
        <v>-5.9946298</v>
      </c>
    </row>
    <row r="125">
      <c r="A125" s="10">
        <f>'h4'!A13</f>
        <v>124</v>
      </c>
      <c r="B125" t="str">
        <f>'h4'!B13</f>
        <v>Apartamento</v>
      </c>
      <c r="C125" t="str">
        <f>'h4'!C13</f>
        <v>Palacio Bucarelli </v>
      </c>
      <c r="D125" t="str">
        <f>'h4'!D13</f>
        <v>Tripadvisor</v>
      </c>
      <c r="E125" s="9">
        <f>'h4'!E13</f>
        <v>194</v>
      </c>
      <c r="F125" s="9">
        <f>'h4'!F13</f>
        <v>126</v>
      </c>
      <c r="G125" s="9">
        <f>'h4'!G13</f>
        <v>4.6</v>
      </c>
      <c r="H125" s="9">
        <f>'h4'!H13</f>
        <v>4.7</v>
      </c>
      <c r="I125" s="9">
        <f>'h4'!I13</f>
        <v>4.639374999999999</v>
      </c>
      <c r="J125" s="9">
        <f>'h4'!J13</f>
        <v>1</v>
      </c>
      <c r="K125" s="9">
        <f>'h4'!K13</f>
        <v>12</v>
      </c>
      <c r="L125" s="9">
        <f>'h4'!L13</f>
        <v>0</v>
      </c>
      <c r="M125" s="9">
        <f>'h4'!M13</f>
        <v>0</v>
      </c>
      <c r="N125" s="9">
        <f>'h4'!N13</f>
        <v>0</v>
      </c>
      <c r="O125" s="9">
        <f>'h4'!O13</f>
        <v>0</v>
      </c>
      <c r="P125" s="9">
        <f>'h4'!P13</f>
        <v>1500</v>
      </c>
      <c r="Q125" s="9">
        <f>'h4'!Q13</f>
        <v>0.10000000000000053</v>
      </c>
      <c r="R125" s="9">
        <f>'h4'!R13</f>
        <v>0.039374999999999716</v>
      </c>
      <c r="S125" s="9">
        <f>'h4'!S13</f>
        <v>0.06062500000000082</v>
      </c>
      <c r="T125" s="9">
        <f>'h4'!T13</f>
        <v>0.21333333333333335</v>
      </c>
      <c r="U125" s="9">
        <f>'h4'!U13</f>
        <v>11.62233018066791</v>
      </c>
      <c r="V125" s="9">
        <f>'h4'!V13</f>
        <v>0</v>
      </c>
      <c r="W125" s="9">
        <f>'h4'!W13</f>
        <v>0</v>
      </c>
      <c r="X125" s="9">
        <f>'h4'!X13</f>
        <v>0</v>
      </c>
      <c r="Y125" s="9">
        <f>'h4'!Y13</f>
        <v>0</v>
      </c>
      <c r="Z125" s="9">
        <f>'h4'!Z13</f>
        <v>1.5396825396825398</v>
      </c>
      <c r="AA125" s="9">
        <f>'h4'!AA13</f>
        <v>32</v>
      </c>
      <c r="AB125" s="9">
        <f>'h4'!AB13</f>
        <v>32</v>
      </c>
      <c r="AC125" s="9">
        <f>'h4'!AC13</f>
        <v>32</v>
      </c>
      <c r="AD125" s="9">
        <f>'h4'!AD13</f>
        <v>32</v>
      </c>
      <c r="AE125" s="46" t="s">
        <v>220</v>
      </c>
      <c r="AF125" s="9">
        <v>37.3991914</v>
      </c>
      <c r="AG125" s="9">
        <v>-5.9969501</v>
      </c>
    </row>
    <row r="126">
      <c r="A126" s="10">
        <f>'h4'!A14</f>
        <v>125</v>
      </c>
      <c r="B126" t="str">
        <f>'h4'!B14</f>
        <v>Apartamento</v>
      </c>
      <c r="C126" t="str">
        <f>'h4'!C14</f>
        <v>Hom Sevilla </v>
      </c>
      <c r="D126" t="str">
        <f>'h4'!D14</f>
        <v>Tripadvisor</v>
      </c>
      <c r="E126" s="9">
        <f>'h4'!E14</f>
        <v>188</v>
      </c>
      <c r="F126" s="9">
        <f>'h4'!F14</f>
        <v>147</v>
      </c>
      <c r="G126" s="9">
        <f>'h4'!G14</f>
        <v>4.4</v>
      </c>
      <c r="H126" s="9">
        <f>'h4'!H14</f>
        <v>4.8</v>
      </c>
      <c r="I126" s="9">
        <f>'h4'!I14</f>
        <v>4.575522388059702</v>
      </c>
      <c r="J126" s="9">
        <f>'h4'!J14</f>
        <v>1</v>
      </c>
      <c r="K126" s="9">
        <f>'h4'!K14</f>
        <v>13</v>
      </c>
      <c r="L126" s="9">
        <f>'h4'!L14</f>
        <v>0</v>
      </c>
      <c r="M126" s="9">
        <f>'h4'!M14</f>
        <v>0</v>
      </c>
      <c r="N126" s="9">
        <f>'h4'!N14</f>
        <v>0</v>
      </c>
      <c r="O126" s="9">
        <f>'h4'!O14</f>
        <v>0</v>
      </c>
      <c r="P126" s="9">
        <f>'h4'!P14</f>
        <v>196</v>
      </c>
      <c r="Q126" s="9">
        <f>'h4'!Q14</f>
        <v>0.39999999999999947</v>
      </c>
      <c r="R126" s="9">
        <f>'h4'!R14</f>
        <v>0.17552238805970166</v>
      </c>
      <c r="S126" s="9">
        <f>'h4'!S14</f>
        <v>0.2244776119402978</v>
      </c>
      <c r="T126" s="9">
        <f>'h4'!T14</f>
        <v>1.7091836734693877</v>
      </c>
      <c r="U126" s="9">
        <f>'h4'!U14</f>
        <v>11.553399045450975</v>
      </c>
      <c r="V126" s="9">
        <f>'h4'!V14</f>
        <v>0</v>
      </c>
      <c r="W126" s="9">
        <f>'h4'!W14</f>
        <v>0</v>
      </c>
      <c r="X126" s="9">
        <f>'h4'!X14</f>
        <v>0</v>
      </c>
      <c r="Y126" s="9">
        <f>'h4'!Y14</f>
        <v>0</v>
      </c>
      <c r="Z126" s="9">
        <f>'h4'!Z14</f>
        <v>1.2789115646258504</v>
      </c>
      <c r="AA126" s="9">
        <f>'h4'!AA14</f>
        <v>33.5</v>
      </c>
      <c r="AB126" s="9">
        <f>'h4'!AB14</f>
        <v>33.5</v>
      </c>
      <c r="AC126" s="9">
        <f>'h4'!AC14</f>
        <v>33.5</v>
      </c>
      <c r="AD126" s="9">
        <f>'h4'!AD14</f>
        <v>33.5</v>
      </c>
      <c r="AE126" s="46" t="s">
        <v>220</v>
      </c>
      <c r="AF126" s="9">
        <v>37.386981</v>
      </c>
      <c r="AG126" s="9">
        <v>-5.994616</v>
      </c>
    </row>
    <row r="127">
      <c r="A127" s="10">
        <f>'h4'!A15</f>
        <v>126</v>
      </c>
      <c r="B127" t="str">
        <f>'h4'!B15</f>
        <v>Apartamento</v>
      </c>
      <c r="C127" t="str">
        <f>'h4'!C15</f>
        <v>Holiday Rentals Tempa Museo </v>
      </c>
      <c r="D127" t="str">
        <f>'h4'!D15</f>
        <v>Tripadvisor</v>
      </c>
      <c r="E127" s="9">
        <f>'h4'!E15</f>
        <v>723</v>
      </c>
      <c r="F127" s="9">
        <f>'h4'!F15</f>
        <v>579</v>
      </c>
      <c r="G127" s="9">
        <f>'h4'!G15</f>
        <v>4.3</v>
      </c>
      <c r="H127" s="9">
        <f>'h4'!H15</f>
        <v>4.4</v>
      </c>
      <c r="I127" s="9">
        <f>'h4'!I15</f>
        <v>4.344470046082949</v>
      </c>
      <c r="J127" s="9">
        <f>'h4'!J15</f>
        <v>1</v>
      </c>
      <c r="K127" s="9">
        <f>'h4'!K15</f>
        <v>14</v>
      </c>
      <c r="L127" s="9">
        <f>'h4'!L15</f>
        <v>0</v>
      </c>
      <c r="M127" s="9">
        <f>'h4'!M15</f>
        <v>0</v>
      </c>
      <c r="N127" s="9">
        <f>'h4'!N15</f>
        <v>0</v>
      </c>
      <c r="O127" s="9">
        <f>'h4'!O15</f>
        <v>0</v>
      </c>
      <c r="P127" s="9">
        <f>'h4'!P15</f>
        <v>1000</v>
      </c>
      <c r="Q127" s="9">
        <f>'h4'!Q15</f>
        <v>0.10000000000000053</v>
      </c>
      <c r="R127" s="9">
        <f>'h4'!R15</f>
        <v>0.044470046082949466</v>
      </c>
      <c r="S127" s="9">
        <f>'h4'!S15</f>
        <v>0.05552995391705107</v>
      </c>
      <c r="T127" s="9">
        <f>'h4'!T15</f>
        <v>1.302</v>
      </c>
      <c r="U127" s="9">
        <f>'h4'!U15</f>
        <v>13.531334126197608</v>
      </c>
      <c r="V127" s="9">
        <f>'h4'!V15</f>
        <v>0</v>
      </c>
      <c r="W127" s="9">
        <f>'h4'!W15</f>
        <v>0</v>
      </c>
      <c r="X127" s="9">
        <f>'h4'!X15</f>
        <v>0</v>
      </c>
      <c r="Y127" s="9">
        <f>'h4'!Y15</f>
        <v>0</v>
      </c>
      <c r="Z127" s="9">
        <f>'h4'!Z15</f>
        <v>1.2487046632124352</v>
      </c>
      <c r="AA127" s="9">
        <f>'h4'!AA15</f>
        <v>130.2</v>
      </c>
      <c r="AB127" s="9">
        <f>'h4'!AB15</f>
        <v>130.2</v>
      </c>
      <c r="AC127" s="9">
        <f>'h4'!AC15</f>
        <v>130.2</v>
      </c>
      <c r="AD127" s="9">
        <f>'h4'!AD15</f>
        <v>130.2</v>
      </c>
      <c r="AE127" s="46" t="s">
        <v>220</v>
      </c>
      <c r="AF127" s="9">
        <v>37.3932528</v>
      </c>
      <c r="AG127" s="9">
        <v>-5.9995649</v>
      </c>
    </row>
    <row r="128">
      <c r="A128" s="10">
        <f>'h4'!A16</f>
        <v>127</v>
      </c>
      <c r="B128" t="str">
        <f>'h4'!B16</f>
        <v>Apartamento</v>
      </c>
      <c r="C128" t="str">
        <f>'h4'!C16</f>
        <v>Pierre &amp; Vacances Sevilla Apartamentos </v>
      </c>
      <c r="D128" t="str">
        <f>'h4'!D16</f>
        <v>Tripadvisor</v>
      </c>
      <c r="E128" s="9">
        <f>'h4'!E16</f>
        <v>1259</v>
      </c>
      <c r="F128" s="9">
        <f>'h4'!F16</f>
        <v>809</v>
      </c>
      <c r="G128" s="9">
        <f>'h4'!G16</f>
        <v>4.1</v>
      </c>
      <c r="H128" s="9">
        <f>'h4'!H16</f>
        <v>4.1</v>
      </c>
      <c r="I128" s="9">
        <f>'h4'!I16</f>
        <v>4.1</v>
      </c>
      <c r="J128" s="9">
        <f>'h4'!J16</f>
        <v>1</v>
      </c>
      <c r="K128" s="9">
        <f>'h4'!K16</f>
        <v>15</v>
      </c>
      <c r="L128" s="9">
        <f>'h4'!L16</f>
        <v>0</v>
      </c>
      <c r="M128" s="9">
        <f>'h4'!M16</f>
        <v>0</v>
      </c>
      <c r="N128" s="9">
        <f>'h4'!N16</f>
        <v>0</v>
      </c>
      <c r="O128" s="9">
        <f>'h4'!O16</f>
        <v>0</v>
      </c>
      <c r="P128" s="9">
        <f>'h4'!P16</f>
        <v>1050</v>
      </c>
      <c r="Q128" s="9">
        <f>'h4'!Q16</f>
        <v>0</v>
      </c>
      <c r="R128" s="9">
        <f>'h4'!R16</f>
        <v>0</v>
      </c>
      <c r="S128" s="9">
        <f>'h4'!S16</f>
        <v>0</v>
      </c>
      <c r="T128" s="9">
        <f>'h4'!T16</f>
        <v>1.9695238095238095</v>
      </c>
      <c r="U128" s="9">
        <f>'h4'!U16</f>
        <v>13.593757191129809</v>
      </c>
      <c r="V128" s="9">
        <f>'h4'!V16</f>
        <v>0</v>
      </c>
      <c r="W128" s="9">
        <f>'h4'!W16</f>
        <v>0</v>
      </c>
      <c r="X128" s="9">
        <f>'h4'!X16</f>
        <v>0</v>
      </c>
      <c r="Y128" s="9">
        <f>'h4'!Y16</f>
        <v>0</v>
      </c>
      <c r="Z128" s="9">
        <f>'h4'!Z16</f>
        <v>1.5562422744128555</v>
      </c>
      <c r="AA128" s="9">
        <f>'h4'!AA16</f>
        <v>206.8</v>
      </c>
      <c r="AB128" s="9">
        <f>'h4'!AB16</f>
        <v>206.8</v>
      </c>
      <c r="AC128" s="9">
        <f>'h4'!AC16</f>
        <v>206.8</v>
      </c>
      <c r="AD128" s="9">
        <f>'h4'!AD16</f>
        <v>206.8</v>
      </c>
      <c r="AE128" s="46" t="s">
        <v>220</v>
      </c>
      <c r="AF128" s="9">
        <v>37.3829</v>
      </c>
      <c r="AG128" s="9">
        <v>-6.0037</v>
      </c>
    </row>
    <row r="129">
      <c r="A129" s="10">
        <f>'h4'!A17</f>
        <v>128</v>
      </c>
      <c r="B129" t="str">
        <f>'h4'!B17</f>
        <v>Apartamento</v>
      </c>
      <c r="C129" t="str">
        <f>'h4'!C17</f>
        <v>Conde De Torrejon 10 </v>
      </c>
      <c r="D129" t="str">
        <f>'h4'!D17</f>
        <v>Tripadvisor</v>
      </c>
      <c r="E129" s="9">
        <f>'h4'!E17</f>
        <v>15</v>
      </c>
      <c r="F129" s="9">
        <f>'h4'!F17</f>
        <v>288</v>
      </c>
      <c r="G129" s="9">
        <f>'h4'!G17</f>
        <v>3.8</v>
      </c>
      <c r="H129" s="9">
        <f>'h4'!H17</f>
        <v>4.7</v>
      </c>
      <c r="I129" s="9">
        <f>'h4'!I17</f>
        <v>4.655445544554456</v>
      </c>
      <c r="J129" s="9">
        <f>'h4'!J17</f>
        <v>1</v>
      </c>
      <c r="K129" s="9">
        <f>'h4'!K17</f>
        <v>16</v>
      </c>
      <c r="L129" s="9">
        <f>'h4'!L17</f>
        <v>0</v>
      </c>
      <c r="M129" s="9">
        <f>'h4'!M17</f>
        <v>0</v>
      </c>
      <c r="N129" s="9">
        <f>'h4'!N17</f>
        <v>0</v>
      </c>
      <c r="O129" s="9">
        <f>'h4'!O17</f>
        <v>0</v>
      </c>
      <c r="P129" s="9">
        <f>'h4'!P17</f>
        <v>1200</v>
      </c>
      <c r="Q129" s="9">
        <f>'h4'!Q17</f>
        <v>0.9000000000000004</v>
      </c>
      <c r="R129" s="9">
        <f>'h4'!R17</f>
        <v>0.8554455445544562</v>
      </c>
      <c r="S129" s="9">
        <f>'h4'!S17</f>
        <v>0.04455445544554415</v>
      </c>
      <c r="T129" s="9">
        <f>'h4'!T17</f>
        <v>0.2525</v>
      </c>
      <c r="U129" s="9">
        <f>'h4'!U17</f>
        <v>11.552221028928553</v>
      </c>
      <c r="V129" s="9">
        <f>'h4'!V17</f>
        <v>0</v>
      </c>
      <c r="W129" s="9">
        <f>'h4'!W17</f>
        <v>0</v>
      </c>
      <c r="X129" s="9">
        <f>'h4'!X17</f>
        <v>0</v>
      </c>
      <c r="Y129" s="9">
        <f>'h4'!Y17</f>
        <v>0</v>
      </c>
      <c r="Z129" s="9">
        <f>'h4'!Z17</f>
        <v>0.052083333333333336</v>
      </c>
      <c r="AA129" s="9">
        <f>'h4'!AA17</f>
        <v>30.3</v>
      </c>
      <c r="AB129" s="9">
        <f>'h4'!AB17</f>
        <v>30.3</v>
      </c>
      <c r="AC129" s="9">
        <f>'h4'!AC17</f>
        <v>30.3</v>
      </c>
      <c r="AD129" s="9">
        <f>'h4'!AD17</f>
        <v>30.3</v>
      </c>
      <c r="AE129" s="46" t="s">
        <v>220</v>
      </c>
      <c r="AF129" s="9">
        <v>37.3970164</v>
      </c>
      <c r="AG129" s="9">
        <v>-5.9928594</v>
      </c>
    </row>
    <row r="130">
      <c r="A130" s="10">
        <f>'h4'!A18</f>
        <v>129</v>
      </c>
      <c r="B130" t="str">
        <f>'h4'!B18</f>
        <v>Apartamento</v>
      </c>
      <c r="C130" t="str">
        <f>'h4'!C18</f>
        <v>AZZ Sevilla Torre de la Plata Apartamentos </v>
      </c>
      <c r="D130" t="str">
        <f>'h4'!D18</f>
        <v>Tripadvisor</v>
      </c>
      <c r="E130" s="9">
        <f>'h4'!E18</f>
        <v>138</v>
      </c>
      <c r="F130" s="9">
        <f>'h4'!F18</f>
        <v>228</v>
      </c>
      <c r="G130" s="9">
        <f>'h4'!G18</f>
        <v>4.3</v>
      </c>
      <c r="H130" s="9">
        <f>'h4'!H18</f>
        <v>4.4</v>
      </c>
      <c r="I130" s="9">
        <f>'h4'!I18</f>
        <v>4.362295081967213</v>
      </c>
      <c r="J130" s="9">
        <f>'h4'!J18</f>
        <v>1</v>
      </c>
      <c r="K130" s="9">
        <f>'h4'!K18</f>
        <v>17</v>
      </c>
      <c r="L130" s="9">
        <f>'h4'!L18</f>
        <v>0</v>
      </c>
      <c r="M130" s="9">
        <f>'h4'!M18</f>
        <v>0</v>
      </c>
      <c r="N130" s="9">
        <f>'h4'!N18</f>
        <v>0</v>
      </c>
      <c r="O130" s="9">
        <f>'h4'!O18</f>
        <v>0</v>
      </c>
      <c r="P130" s="9">
        <f>'h4'!P18</f>
        <v>431</v>
      </c>
      <c r="Q130" s="9">
        <f>'h4'!Q18</f>
        <v>0.10000000000000053</v>
      </c>
      <c r="R130" s="9">
        <f>'h4'!R18</f>
        <v>0.06229508196721323</v>
      </c>
      <c r="S130" s="9">
        <f>'h4'!S18</f>
        <v>0.037704918032787305</v>
      </c>
      <c r="T130" s="9">
        <f>'h4'!T18</f>
        <v>0.8491879350348028</v>
      </c>
      <c r="U130" s="9">
        <f>'h4'!U18</f>
        <v>11.182660931532011</v>
      </c>
      <c r="V130" s="9">
        <f>'h4'!V18</f>
        <v>0</v>
      </c>
      <c r="W130" s="9">
        <f>'h4'!W18</f>
        <v>0</v>
      </c>
      <c r="X130" s="9">
        <f>'h4'!X18</f>
        <v>0</v>
      </c>
      <c r="Y130" s="9">
        <f>'h4'!Y18</f>
        <v>0</v>
      </c>
      <c r="Z130" s="9">
        <f>'h4'!Z18</f>
        <v>0.6052631578947368</v>
      </c>
      <c r="AA130" s="9">
        <f>'h4'!AA18</f>
        <v>36.6</v>
      </c>
      <c r="AB130" s="9">
        <f>'h4'!AB18</f>
        <v>36.6</v>
      </c>
      <c r="AC130" s="9">
        <f>'h4'!AC18</f>
        <v>36.6</v>
      </c>
      <c r="AD130" s="9">
        <f>'h4'!AD18</f>
        <v>36.6</v>
      </c>
      <c r="AE130" s="46" t="s">
        <v>220</v>
      </c>
      <c r="AF130" s="9">
        <v>37.3831489</v>
      </c>
      <c r="AG130" s="9">
        <v>-5.9956628</v>
      </c>
    </row>
    <row r="131">
      <c r="A131" s="10">
        <f>'h4'!A19</f>
        <v>130</v>
      </c>
      <c r="B131" t="str">
        <f>'h4'!B19</f>
        <v>Apartamento</v>
      </c>
      <c r="C131" t="str">
        <f>'h4'!C19</f>
        <v>The Zentral Arenal Suites </v>
      </c>
      <c r="D131" t="str">
        <f>'h4'!D19</f>
        <v>Tripadvisor</v>
      </c>
      <c r="E131" s="9">
        <f>'h4'!E19</f>
        <v>47</v>
      </c>
      <c r="F131" s="9">
        <f>'h4'!F19</f>
        <v>147</v>
      </c>
      <c r="G131" s="9">
        <f>'h4'!G19</f>
        <v>4.1</v>
      </c>
      <c r="H131" s="9">
        <f>'h4'!H19</f>
        <v>4.6</v>
      </c>
      <c r="I131" s="9">
        <f>'h4'!I19</f>
        <v>4.4788659793814425</v>
      </c>
      <c r="J131" s="9">
        <f>'h4'!J19</f>
        <v>1</v>
      </c>
      <c r="K131" s="9">
        <f>'h4'!K19</f>
        <v>18</v>
      </c>
      <c r="L131" s="9">
        <f>'h4'!L19</f>
        <v>0</v>
      </c>
      <c r="M131" s="9">
        <f>'h4'!M19</f>
        <v>0</v>
      </c>
      <c r="N131" s="9">
        <f>'h4'!N19</f>
        <v>0</v>
      </c>
      <c r="O131" s="9">
        <f>'h4'!O19</f>
        <v>0</v>
      </c>
      <c r="P131" s="9">
        <f>'h4'!P19</f>
        <v>584</v>
      </c>
      <c r="Q131" s="9">
        <f>'h4'!Q19</f>
        <v>0.5</v>
      </c>
      <c r="R131" s="9">
        <f>'h4'!R19</f>
        <v>0.37886597938144284</v>
      </c>
      <c r="S131" s="9">
        <f>'h4'!S19</f>
        <v>0.12113402061855716</v>
      </c>
      <c r="T131" s="9">
        <f>'h4'!T19</f>
        <v>0.3321917808219178</v>
      </c>
      <c r="U131" s="9">
        <f>'h4'!U19</f>
        <v>10.2467573357545</v>
      </c>
      <c r="V131" s="9">
        <f>'h4'!V19</f>
        <v>0</v>
      </c>
      <c r="W131" s="9">
        <f>'h4'!W19</f>
        <v>0</v>
      </c>
      <c r="X131" s="9">
        <f>'h4'!X19</f>
        <v>0</v>
      </c>
      <c r="Y131" s="9">
        <f>'h4'!Y19</f>
        <v>0</v>
      </c>
      <c r="Z131" s="9">
        <f>'h4'!Z19</f>
        <v>0.3197278911564626</v>
      </c>
      <c r="AA131" s="9">
        <f>'h4'!AA19</f>
        <v>19.4</v>
      </c>
      <c r="AB131" s="9">
        <f>'h4'!AB19</f>
        <v>19.4</v>
      </c>
      <c r="AC131" s="9">
        <f>'h4'!AC19</f>
        <v>19.4</v>
      </c>
      <c r="AD131" s="9">
        <f>'h4'!AD19</f>
        <v>19.4</v>
      </c>
      <c r="AE131" s="46" t="s">
        <v>220</v>
      </c>
      <c r="AF131" s="9">
        <v>37.3872207</v>
      </c>
      <c r="AG131" s="9">
        <v>-5.9990876</v>
      </c>
    </row>
    <row r="132">
      <c r="A132" s="10">
        <f>'h4'!A20</f>
        <v>131</v>
      </c>
      <c r="B132" t="str">
        <f>'h4'!B20</f>
        <v>Apartamento</v>
      </c>
      <c r="C132" t="str">
        <f>'h4'!C20</f>
        <v>Q&amp;Q Cathedral Suites </v>
      </c>
      <c r="D132" t="str">
        <f>'h4'!D20</f>
        <v>Tripadvisor</v>
      </c>
      <c r="E132" s="9">
        <f>'h4'!E20</f>
        <v>100</v>
      </c>
      <c r="F132" s="9">
        <f>'h4'!F20</f>
        <v>123</v>
      </c>
      <c r="G132" s="9">
        <f>'h4'!G20</f>
        <v>4.4</v>
      </c>
      <c r="H132" s="9">
        <f>'h4'!H20</f>
        <v>4.6</v>
      </c>
      <c r="I132" s="9">
        <f>'h4'!I20</f>
        <v>4.510313901345291</v>
      </c>
      <c r="J132" s="9">
        <f>'h4'!J20</f>
        <v>1</v>
      </c>
      <c r="K132" s="9">
        <f>'h4'!K20</f>
        <v>19</v>
      </c>
      <c r="L132" s="9">
        <f>'h4'!L20</f>
        <v>0</v>
      </c>
      <c r="M132" s="9">
        <f>'h4'!M20</f>
        <v>0</v>
      </c>
      <c r="N132" s="9">
        <f>'h4'!N20</f>
        <v>0</v>
      </c>
      <c r="O132" s="9">
        <f>'h4'!O20</f>
        <v>0</v>
      </c>
      <c r="P132" s="9">
        <f>'h4'!P20</f>
        <v>210</v>
      </c>
      <c r="Q132" s="9">
        <f>'h4'!Q20</f>
        <v>0.1999999999999993</v>
      </c>
      <c r="R132" s="9">
        <f>'h4'!R20</f>
        <v>0.11031390134529051</v>
      </c>
      <c r="S132" s="9">
        <f>'h4'!S20</f>
        <v>0.08968609865470878</v>
      </c>
      <c r="T132" s="9">
        <f>'h4'!T20</f>
        <v>1.061904761904762</v>
      </c>
      <c r="U132" s="9">
        <f>'h4'!U20</f>
        <v>10.591592068402868</v>
      </c>
      <c r="V132" s="9">
        <f>'h4'!V20</f>
        <v>0</v>
      </c>
      <c r="W132" s="9">
        <f>'h4'!W20</f>
        <v>0</v>
      </c>
      <c r="X132" s="9">
        <f>'h4'!X20</f>
        <v>0</v>
      </c>
      <c r="Y132" s="9">
        <f>'h4'!Y20</f>
        <v>0</v>
      </c>
      <c r="Z132" s="9">
        <f>'h4'!Z20</f>
        <v>0.8130081300813008</v>
      </c>
      <c r="AA132" s="9">
        <f>'h4'!AA20</f>
        <v>22.3</v>
      </c>
      <c r="AB132" s="9">
        <f>'h4'!AB20</f>
        <v>22.3</v>
      </c>
      <c r="AC132" s="9">
        <f>'h4'!AC20</f>
        <v>22.3</v>
      </c>
      <c r="AD132" s="9">
        <f>'h4'!AD20</f>
        <v>22.3</v>
      </c>
      <c r="AE132" s="46" t="s">
        <v>220</v>
      </c>
      <c r="AF132" s="9">
        <v>37.3875173</v>
      </c>
      <c r="AG132" s="9">
        <v>-5.9909284</v>
      </c>
    </row>
    <row r="133">
      <c r="A133" s="10">
        <f>'h4'!A21</f>
        <v>132</v>
      </c>
      <c r="B133" t="str">
        <f>'h4'!B21</f>
        <v>Apartamento</v>
      </c>
      <c r="C133" t="str">
        <f>'h4'!C21</f>
        <v>Singular Siete Revueltas </v>
      </c>
      <c r="D133" t="str">
        <f>'h4'!D21</f>
        <v>Tripadvisor</v>
      </c>
      <c r="E133" s="9">
        <f>'h4'!E21</f>
        <v>134</v>
      </c>
      <c r="F133" s="9">
        <f>'h4'!F21</f>
        <v>184</v>
      </c>
      <c r="G133" s="9">
        <f>'h4'!G21</f>
        <v>4.3</v>
      </c>
      <c r="H133" s="9">
        <f>'h4'!H21</f>
        <v>4.3</v>
      </c>
      <c r="I133" s="9">
        <f>'h4'!I21</f>
        <v>4.3</v>
      </c>
      <c r="J133" s="9">
        <f>'h4'!J21</f>
        <v>1</v>
      </c>
      <c r="K133" s="9">
        <f>'h4'!K21</f>
        <v>20</v>
      </c>
      <c r="L133" s="9">
        <f>'h4'!L21</f>
        <v>0</v>
      </c>
      <c r="M133" s="9">
        <f>'h4'!M21</f>
        <v>0</v>
      </c>
      <c r="N133" s="9">
        <f>'h4'!N21</f>
        <v>0</v>
      </c>
      <c r="O133" s="9">
        <f>'h4'!O21</f>
        <v>0</v>
      </c>
      <c r="P133" s="9">
        <f>'h4'!P21</f>
        <v>534</v>
      </c>
      <c r="Q133" s="9">
        <f>'h4'!Q21</f>
        <v>0</v>
      </c>
      <c r="R133" s="9">
        <f>'h4'!R21</f>
        <v>0</v>
      </c>
      <c r="S133" s="9">
        <f>'h4'!S21</f>
        <v>0</v>
      </c>
      <c r="T133" s="9">
        <f>'h4'!T21</f>
        <v>0.5955056179775281</v>
      </c>
      <c r="U133" s="9">
        <f>'h4'!U21</f>
        <v>10.76043661593306</v>
      </c>
      <c r="V133" s="9">
        <f>'h4'!V21</f>
        <v>0</v>
      </c>
      <c r="W133" s="9">
        <f>'h4'!W21</f>
        <v>0</v>
      </c>
      <c r="X133" s="9">
        <f>'h4'!X21</f>
        <v>0</v>
      </c>
      <c r="Y133" s="9">
        <f>'h4'!Y21</f>
        <v>0</v>
      </c>
      <c r="Z133" s="9">
        <f>'h4'!Z21</f>
        <v>0.7282608695652174</v>
      </c>
      <c r="AA133" s="9">
        <f>'h4'!AA21</f>
        <v>31.8</v>
      </c>
      <c r="AB133" s="9">
        <f>'h4'!AB21</f>
        <v>31.8</v>
      </c>
      <c r="AC133" s="9">
        <f>'h4'!AC21</f>
        <v>31.8</v>
      </c>
      <c r="AD133" s="9">
        <f>'h4'!AD21</f>
        <v>31.8</v>
      </c>
      <c r="AE133" s="46" t="s">
        <v>220</v>
      </c>
      <c r="AF133" s="9">
        <v>37.390957</v>
      </c>
      <c r="AG133" s="9">
        <v>-5.9918649</v>
      </c>
    </row>
    <row r="134">
      <c r="A134" s="10">
        <f>'h4'!A22</f>
        <v>133</v>
      </c>
      <c r="B134" t="str">
        <f>'h4'!B22</f>
        <v>Apartamento</v>
      </c>
      <c r="C134" t="str">
        <f>'h4'!C22</f>
        <v>Overland Suites Catedral </v>
      </c>
      <c r="D134" t="str">
        <f>'h4'!D22</f>
        <v>Tripadvisor</v>
      </c>
      <c r="E134" s="9">
        <f>'h4'!E22</f>
        <v>162</v>
      </c>
      <c r="F134" s="9">
        <f>'h4'!F22</f>
        <v>77</v>
      </c>
      <c r="G134" s="9">
        <f>'h4'!G22</f>
        <v>4.7</v>
      </c>
      <c r="H134" s="9">
        <f>'h4'!H22</f>
        <v>4.7</v>
      </c>
      <c r="I134" s="9">
        <f>'h4'!I22</f>
        <v>4.7</v>
      </c>
      <c r="J134" s="9">
        <f>'h4'!J22</f>
        <v>1</v>
      </c>
      <c r="K134" s="9">
        <f>'h4'!K22</f>
        <v>21</v>
      </c>
      <c r="L134" s="9">
        <f>'h4'!L22</f>
        <v>0</v>
      </c>
      <c r="M134" s="9">
        <f>'h4'!M22</f>
        <v>0</v>
      </c>
      <c r="N134" s="9">
        <f>'h4'!N22</f>
        <v>0</v>
      </c>
      <c r="O134" s="9">
        <f>'h4'!O22</f>
        <v>0</v>
      </c>
      <c r="P134" s="9">
        <f>'h4'!P22</f>
        <v>220</v>
      </c>
      <c r="Q134" s="9">
        <f>'h4'!Q22</f>
        <v>0</v>
      </c>
      <c r="R134" s="9">
        <f>'h4'!R22</f>
        <v>0</v>
      </c>
      <c r="S134" s="9">
        <f>'h4'!S22</f>
        <v>0</v>
      </c>
      <c r="T134" s="9">
        <f>'h4'!T22</f>
        <v>1.0863636363636364</v>
      </c>
      <c r="U134" s="9">
        <f>'h4'!U22</f>
        <v>11.178470134456246</v>
      </c>
      <c r="V134" s="9">
        <f>'h4'!V22</f>
        <v>0</v>
      </c>
      <c r="W134" s="9">
        <f>'h4'!W22</f>
        <v>0</v>
      </c>
      <c r="X134" s="9">
        <f>'h4'!X22</f>
        <v>0</v>
      </c>
      <c r="Y134" s="9">
        <f>'h4'!Y22</f>
        <v>0</v>
      </c>
      <c r="Z134" s="9">
        <f>'h4'!Z22</f>
        <v>2.103896103896104</v>
      </c>
      <c r="AA134" s="9">
        <f>'h4'!AA22</f>
        <v>23.9</v>
      </c>
      <c r="AB134" s="9">
        <f>'h4'!AB22</f>
        <v>23.9</v>
      </c>
      <c r="AC134" s="9">
        <f>'h4'!AC22</f>
        <v>23.9</v>
      </c>
      <c r="AD134" s="9">
        <f>'h4'!AD22</f>
        <v>23.9</v>
      </c>
      <c r="AE134" s="46" t="s">
        <v>220</v>
      </c>
      <c r="AF134" s="9">
        <v>37.3879485</v>
      </c>
      <c r="AG134" s="9">
        <v>-5.9914858</v>
      </c>
    </row>
    <row r="135">
      <c r="A135" s="10">
        <f>'h4'!A23</f>
        <v>134</v>
      </c>
      <c r="B135" t="str">
        <f>'h4'!B23</f>
        <v>Apartamento</v>
      </c>
      <c r="C135" t="str">
        <f>'h4'!C23</f>
        <v>Living-Sevilla Maestranza </v>
      </c>
      <c r="D135" t="str">
        <f>'h4'!D23</f>
        <v>Tripadvisor</v>
      </c>
      <c r="E135" s="9">
        <f>'h4'!E23</f>
        <v>74</v>
      </c>
      <c r="F135" s="9">
        <f>'h4'!F23</f>
        <v>125</v>
      </c>
      <c r="G135" s="9">
        <f>'h4'!G23</f>
        <v>4.3</v>
      </c>
      <c r="H135" s="9">
        <f>'h4'!H23</f>
        <v>4.6</v>
      </c>
      <c r="I135" s="9">
        <f>'h4'!I23</f>
        <v>4.488442211055276</v>
      </c>
      <c r="J135" s="9">
        <f>'h4'!J23</f>
        <v>1</v>
      </c>
      <c r="K135" s="9">
        <f>'h4'!K23</f>
        <v>22</v>
      </c>
      <c r="L135" s="9">
        <f>'h4'!L23</f>
        <v>0</v>
      </c>
      <c r="M135" s="9">
        <f>'h4'!M23</f>
        <v>0</v>
      </c>
      <c r="N135" s="9">
        <f>'h4'!N23</f>
        <v>0</v>
      </c>
      <c r="O135" s="9">
        <f>'h4'!O23</f>
        <v>0</v>
      </c>
      <c r="P135" s="9">
        <f>'h4'!P23</f>
        <v>508</v>
      </c>
      <c r="Q135" s="9">
        <f>'h4'!Q23</f>
        <v>0.2999999999999998</v>
      </c>
      <c r="R135" s="9">
        <f>'h4'!R23</f>
        <v>0.1884422110552766</v>
      </c>
      <c r="S135" s="9">
        <f>'h4'!S23</f>
        <v>0.11155778894472324</v>
      </c>
      <c r="T135" s="9">
        <f>'h4'!T23</f>
        <v>0.39173228346456695</v>
      </c>
      <c r="U135" s="9">
        <f>'h4'!U23</f>
        <v>10.318269185171609</v>
      </c>
      <c r="V135" s="9">
        <f>'h4'!V23</f>
        <v>0</v>
      </c>
      <c r="W135" s="9">
        <f>'h4'!W23</f>
        <v>0</v>
      </c>
      <c r="X135" s="9">
        <f>'h4'!X23</f>
        <v>0</v>
      </c>
      <c r="Y135" s="9">
        <f>'h4'!Y23</f>
        <v>0</v>
      </c>
      <c r="Z135" s="9">
        <f>'h4'!Z23</f>
        <v>0.592</v>
      </c>
      <c r="AA135" s="9">
        <f>'h4'!AA23</f>
        <v>19.9</v>
      </c>
      <c r="AB135" s="9">
        <f>'h4'!AB23</f>
        <v>19.9</v>
      </c>
      <c r="AC135" s="9">
        <f>'h4'!AC23</f>
        <v>19.9</v>
      </c>
      <c r="AD135" s="9">
        <f>'h4'!AD23</f>
        <v>19.9</v>
      </c>
      <c r="AE135" s="46" t="s">
        <v>220</v>
      </c>
      <c r="AF135" s="9">
        <v>37.3873498</v>
      </c>
      <c r="AG135" s="9">
        <v>-5.9981638</v>
      </c>
    </row>
    <row r="136">
      <c r="A136" s="10">
        <f>'h4'!A24</f>
        <v>135</v>
      </c>
      <c r="B136" t="str">
        <f>'h4'!B24</f>
        <v>Apartamento</v>
      </c>
      <c r="C136" t="str">
        <f>'h4'!C24</f>
        <v>Singular Corral de San José </v>
      </c>
      <c r="D136" t="str">
        <f>'h4'!D24</f>
        <v>Tripadvisor</v>
      </c>
      <c r="E136" s="9">
        <f>'h4'!E24</f>
        <v>242</v>
      </c>
      <c r="F136" s="9">
        <f>'h4'!F24</f>
        <v>273</v>
      </c>
      <c r="G136" s="9">
        <f>'h4'!G24</f>
        <v>4.1</v>
      </c>
      <c r="H136" s="9">
        <f>'h4'!H24</f>
        <v>4.1</v>
      </c>
      <c r="I136" s="9">
        <f>'h4'!I24</f>
        <v>4.1</v>
      </c>
      <c r="J136" s="9">
        <f>'h4'!J24</f>
        <v>1</v>
      </c>
      <c r="K136" s="9">
        <f>'h4'!K24</f>
        <v>23</v>
      </c>
      <c r="L136" s="9">
        <f>'h4'!L24</f>
        <v>0</v>
      </c>
      <c r="M136" s="9">
        <f>'h4'!M24</f>
        <v>0</v>
      </c>
      <c r="N136" s="9">
        <f>'h4'!N24</f>
        <v>0</v>
      </c>
      <c r="O136" s="9">
        <f>'h4'!O24</f>
        <v>0</v>
      </c>
      <c r="P136" s="9">
        <f>'h4'!P24</f>
        <v>227</v>
      </c>
      <c r="Q136" s="9">
        <f>'h4'!Q24</f>
        <v>0</v>
      </c>
      <c r="R136" s="9">
        <f>'h4'!R24</f>
        <v>0</v>
      </c>
      <c r="S136" s="9">
        <f>'h4'!S24</f>
        <v>0</v>
      </c>
      <c r="T136" s="9">
        <f>'h4'!T24</f>
        <v>2.2687224669603525</v>
      </c>
      <c r="U136" s="9">
        <f>'h4'!U24</f>
        <v>11.118409639068883</v>
      </c>
      <c r="V136" s="9">
        <f>'h4'!V24</f>
        <v>0</v>
      </c>
      <c r="W136" s="9">
        <f>'h4'!W24</f>
        <v>0</v>
      </c>
      <c r="X136" s="9">
        <f>'h4'!X24</f>
        <v>0</v>
      </c>
      <c r="Y136" s="9">
        <f>'h4'!Y24</f>
        <v>0</v>
      </c>
      <c r="Z136" s="9">
        <f>'h4'!Z24</f>
        <v>0.8864468864468864</v>
      </c>
      <c r="AA136" s="9">
        <f>'h4'!AA24</f>
        <v>51.5</v>
      </c>
      <c r="AB136" s="9">
        <f>'h4'!AB24</f>
        <v>51.5</v>
      </c>
      <c r="AC136" s="9">
        <f>'h4'!AC24</f>
        <v>51.5</v>
      </c>
      <c r="AD136" s="9">
        <f>'h4'!AD24</f>
        <v>51.5</v>
      </c>
      <c r="AE136" s="46" t="s">
        <v>220</v>
      </c>
      <c r="AF136" s="9">
        <v>37.3864584</v>
      </c>
      <c r="AG136" s="9">
        <v>-5.995175</v>
      </c>
    </row>
    <row r="137" ht="30.75">
      <c r="A137" s="10">
        <f>'h4'!A25</f>
        <v>136</v>
      </c>
      <c r="B137" t="str">
        <f>'h4'!B25</f>
        <v>Apartamento</v>
      </c>
      <c r="C137" t="str">
        <f>'h4'!C25</f>
        <v>Rey de Sevilla Flats Macarena </v>
      </c>
      <c r="D137" t="str">
        <f>'h4'!D25</f>
        <v>Tripadvisor</v>
      </c>
      <c r="E137" s="9">
        <f>'h4'!E25</f>
        <v>86</v>
      </c>
      <c r="F137" s="9">
        <f>'h4'!F25</f>
        <v>76</v>
      </c>
      <c r="G137" s="9">
        <f>'h4'!G25</f>
        <v>3.9</v>
      </c>
      <c r="H137" s="9">
        <f>'h4'!H25</f>
        <v>4.4</v>
      </c>
      <c r="I137" s="9">
        <f>'h4'!I25</f>
        <v>4.1345679012345675</v>
      </c>
      <c r="J137" s="9">
        <f>'h4'!J25</f>
        <v>1</v>
      </c>
      <c r="K137" s="9">
        <f>'h4'!K25</f>
        <v>24</v>
      </c>
      <c r="L137" s="9">
        <f>'h4'!L25</f>
        <v>0</v>
      </c>
      <c r="M137" s="9">
        <f>'h4'!M25</f>
        <v>0</v>
      </c>
      <c r="N137" s="9">
        <f>'h4'!N25</f>
        <v>25</v>
      </c>
      <c r="O137" s="9">
        <f>'h4'!O25</f>
        <v>2.5</v>
      </c>
      <c r="P137" s="9">
        <f>'h4'!P25</f>
        <v>1780</v>
      </c>
      <c r="Q137" s="9">
        <f>'h4'!Q25</f>
        <v>0.5000000000000004</v>
      </c>
      <c r="R137" s="9">
        <f>'h4'!R25</f>
        <v>0.2345679012345676</v>
      </c>
      <c r="S137" s="9">
        <f>'h4'!S25</f>
        <v>0.26543209876543283</v>
      </c>
      <c r="T137" s="9">
        <f>'h4'!T25</f>
        <v>0.09101123595505618</v>
      </c>
      <c r="U137" s="9">
        <f>'h4'!U25</f>
        <v>9.13538985642379</v>
      </c>
      <c r="V137" s="9">
        <f>'h4'!V25</f>
        <v>0</v>
      </c>
      <c r="W137" s="9">
        <f>'h4'!W25</f>
        <v>0</v>
      </c>
      <c r="X137" s="9">
        <f>'h4'!X25</f>
        <v>1.4044943820224718</v>
      </c>
      <c r="Y137" s="9">
        <f>'h4'!Y25</f>
        <v>0.1404494382022472</v>
      </c>
      <c r="Z137" s="9">
        <f>'h4'!Z25</f>
        <v>1.131578947368421</v>
      </c>
      <c r="AA137" s="9">
        <f>'h4'!AA25</f>
        <v>16.2</v>
      </c>
      <c r="AB137" s="9">
        <f>'h4'!AB25</f>
        <v>16.2</v>
      </c>
      <c r="AC137" s="9">
        <f>'h4'!AC25</f>
        <v>0.0645418326693227</v>
      </c>
      <c r="AD137" s="9">
        <f>'h4'!AD25</f>
        <v>0.6230769230769231</v>
      </c>
      <c r="AE137" s="46" t="s">
        <v>223</v>
      </c>
      <c r="AF137" s="9">
        <v>37.4019089</v>
      </c>
      <c r="AG137" s="9">
        <v>-5.9891309</v>
      </c>
    </row>
    <row r="138">
      <c r="A138" s="10">
        <f>'h4'!A26</f>
        <v>137</v>
      </c>
      <c r="B138" t="str">
        <f>'h4'!B26</f>
        <v>Apartamento</v>
      </c>
      <c r="C138" t="str">
        <f>'h4'!C26</f>
        <v>nQn Aparts &amp; Suites </v>
      </c>
      <c r="D138" t="str">
        <f>'h4'!D26</f>
        <v>Tripadvisor</v>
      </c>
      <c r="E138" s="9">
        <f>'h4'!E26</f>
        <v>164</v>
      </c>
      <c r="F138" s="9">
        <f>'h4'!F26</f>
        <v>32</v>
      </c>
      <c r="G138" s="9">
        <f>'h4'!G26</f>
        <v>4.9</v>
      </c>
      <c r="H138" s="9">
        <f>'h4'!H26</f>
        <v>4.8</v>
      </c>
      <c r="I138" s="9">
        <f>'h4'!I26</f>
        <v>4.883673469387755</v>
      </c>
      <c r="J138" s="9">
        <f>'h4'!J26</f>
        <v>1</v>
      </c>
      <c r="K138" s="9">
        <f>'h4'!K26</f>
        <v>25</v>
      </c>
      <c r="L138" s="9">
        <f>'h4'!L26</f>
        <v>0</v>
      </c>
      <c r="M138" s="9">
        <f>'h4'!M26</f>
        <v>0</v>
      </c>
      <c r="N138" s="9">
        <f>'h4'!N26</f>
        <v>0</v>
      </c>
      <c r="O138" s="9">
        <f>'h4'!O26</f>
        <v>0</v>
      </c>
      <c r="P138" s="9">
        <f>'h4'!P26</f>
        <v>708</v>
      </c>
      <c r="Q138" s="9">
        <f>'h4'!Q26</f>
        <v>0.10000000000000053</v>
      </c>
      <c r="R138" s="9">
        <f>'h4'!R26</f>
        <v>0.016326530612245094</v>
      </c>
      <c r="S138" s="9">
        <f>'h4'!S26</f>
        <v>0.08367346938775544</v>
      </c>
      <c r="T138" s="9">
        <f>'h4'!T26</f>
        <v>0.2768361581920904</v>
      </c>
      <c r="U138" s="9">
        <f>'h4'!U26</f>
        <v>11.194630160726627</v>
      </c>
      <c r="V138" s="9">
        <f>'h4'!V26</f>
        <v>0</v>
      </c>
      <c r="W138" s="9">
        <f>'h4'!W26</f>
        <v>0</v>
      </c>
      <c r="X138" s="9">
        <f>'h4'!X26</f>
        <v>0</v>
      </c>
      <c r="Y138" s="9">
        <f>'h4'!Y26</f>
        <v>0</v>
      </c>
      <c r="Z138" s="9">
        <f>'h4'!Z26</f>
        <v>5.125</v>
      </c>
      <c r="AA138" s="9">
        <f>'h4'!AA26</f>
        <v>19.6</v>
      </c>
      <c r="AB138" s="9">
        <f>'h4'!AB26</f>
        <v>19.6</v>
      </c>
      <c r="AC138" s="9">
        <f>'h4'!AC26</f>
        <v>19.6</v>
      </c>
      <c r="AD138" s="9">
        <f>'h4'!AD26</f>
        <v>19.6</v>
      </c>
      <c r="AE138" s="46" t="s">
        <v>220</v>
      </c>
      <c r="AF138" s="9">
        <v>37.3923797</v>
      </c>
      <c r="AG138" s="9">
        <v>-5.9945162</v>
      </c>
    </row>
    <row r="139">
      <c r="A139" s="10">
        <f>'h4'!A27</f>
        <v>138</v>
      </c>
      <c r="B139" t="str">
        <f>'h4'!B27</f>
        <v>Apartamento</v>
      </c>
      <c r="C139" t="str">
        <f>'h4'!C27</f>
        <v>Numa Solea Apartments</v>
      </c>
      <c r="D139" t="str">
        <f>'h4'!D27</f>
        <v>Publicidad</v>
      </c>
      <c r="E139" s="9">
        <f>'h4'!E27</f>
        <v>112</v>
      </c>
      <c r="F139" s="9">
        <f>'h4'!F27</f>
        <v>15</v>
      </c>
      <c r="G139" s="9">
        <f>'h4'!G27</f>
        <v>4.6</v>
      </c>
      <c r="H139" s="9">
        <f>'h4'!H27</f>
        <v>4.5</v>
      </c>
      <c r="I139" s="9">
        <f>'h4'!I27</f>
        <v>4.588188976377952</v>
      </c>
      <c r="J139" s="9">
        <f>'h4'!J27</f>
        <v>1</v>
      </c>
      <c r="K139" s="9">
        <f>'h4'!K27</f>
        <v>43</v>
      </c>
      <c r="L139" s="9">
        <f>'h4'!L27</f>
        <v>0</v>
      </c>
      <c r="M139" s="9">
        <f>'h4'!M27</f>
        <v>0</v>
      </c>
      <c r="N139" s="9">
        <f>'h4'!N27</f>
        <v>0</v>
      </c>
      <c r="O139" s="9">
        <f>'h4'!O27</f>
        <v>0</v>
      </c>
      <c r="P139" s="9">
        <f>'h4'!P27</f>
        <v>920</v>
      </c>
      <c r="Q139" s="9">
        <f>'h4'!Q27</f>
        <v>0.09999999999999964</v>
      </c>
      <c r="R139" s="9">
        <f>'h4'!R27</f>
        <v>0.011811023622047223</v>
      </c>
      <c r="S139" s="9">
        <f>'h4'!S27</f>
        <v>0.08818897637795242</v>
      </c>
      <c r="T139" s="9">
        <f>'h4'!T27</f>
        <v>0.13804347826086957</v>
      </c>
      <c r="U139" s="9">
        <f>'h4'!U27</f>
        <v>9.652649040953039</v>
      </c>
      <c r="V139" s="9">
        <f>'h4'!V27</f>
        <v>0</v>
      </c>
      <c r="W139" s="9">
        <f>'h4'!W27</f>
        <v>0</v>
      </c>
      <c r="X139" s="9">
        <f>'h4'!X27</f>
        <v>0</v>
      </c>
      <c r="Y139" s="9">
        <f>'h4'!Y27</f>
        <v>0</v>
      </c>
      <c r="Z139" s="9">
        <f>'h4'!Z27</f>
        <v>7.466666666666667</v>
      </c>
      <c r="AA139" s="9">
        <f>'h4'!AA27</f>
        <v>12.7</v>
      </c>
      <c r="AB139" s="9">
        <f>'h4'!AB27</f>
        <v>12.7</v>
      </c>
      <c r="AC139" s="9">
        <f>'h4'!AC27</f>
        <v>12.7</v>
      </c>
      <c r="AD139" s="9">
        <f>'h4'!AD27</f>
        <v>12.7</v>
      </c>
      <c r="AE139" s="46" t="s">
        <v>224</v>
      </c>
      <c r="AF139" s="9">
        <v>37.3929193</v>
      </c>
      <c r="AG139" s="9">
        <v>-5.9986981</v>
      </c>
    </row>
    <row r="140">
      <c r="A140" s="10">
        <f>'h4'!A28</f>
        <v>139</v>
      </c>
      <c r="B140" t="str">
        <f>'h4'!B28</f>
        <v>Apartamento</v>
      </c>
      <c r="C140" t="str">
        <f>'h4'!C28</f>
        <v>Vac Luxyry Home Sevilla</v>
      </c>
      <c r="D140" t="str">
        <f>'h4'!D28</f>
        <v>Publicidad</v>
      </c>
      <c r="E140" s="9">
        <f>'h4'!E28</f>
        <v>68</v>
      </c>
      <c r="F140" s="9">
        <f>'h4'!F28</f>
        <v>3</v>
      </c>
      <c r="G140" s="9">
        <f>'h4'!G28</f>
        <v>4.6</v>
      </c>
      <c r="H140" s="9">
        <f>'h4'!H28</f>
        <v>5</v>
      </c>
      <c r="I140" s="9">
        <f>'h4'!I28</f>
        <v>4.616901408450704</v>
      </c>
      <c r="J140" s="9">
        <f>'h4'!J28</f>
        <v>1</v>
      </c>
      <c r="K140" s="9">
        <f>'h4'!K28</f>
        <v>85</v>
      </c>
      <c r="L140" s="9">
        <f>'h4'!L28</f>
        <v>0</v>
      </c>
      <c r="M140" s="9">
        <f>'h4'!M28</f>
        <v>0</v>
      </c>
      <c r="N140" s="9">
        <f>'h4'!N28</f>
        <v>0</v>
      </c>
      <c r="O140" s="9">
        <f>'h4'!O28</f>
        <v>0</v>
      </c>
      <c r="P140" s="9">
        <f>'h4'!P28</f>
        <v>965</v>
      </c>
      <c r="Q140" s="9">
        <f>'h4'!Q28</f>
        <v>0.40000000000000036</v>
      </c>
      <c r="R140" s="9">
        <f>'h4'!R28</f>
        <v>0.016901408450704203</v>
      </c>
      <c r="S140" s="9">
        <f>'h4'!S28</f>
        <v>0.38309859154929615</v>
      </c>
      <c r="T140" s="9">
        <f>'h4'!T28</f>
        <v>0.07357512953367876</v>
      </c>
      <c r="U140" s="9">
        <f>'h4'!U28</f>
        <v>8.547077277607222</v>
      </c>
      <c r="V140" s="9">
        <f>'h4'!V28</f>
        <v>0</v>
      </c>
      <c r="W140" s="9">
        <f>'h4'!W28</f>
        <v>0</v>
      </c>
      <c r="X140" s="9">
        <f>'h4'!X28</f>
        <v>0</v>
      </c>
      <c r="Y140" s="9">
        <f>'h4'!Y28</f>
        <v>0</v>
      </c>
      <c r="Z140" s="9">
        <f>'h4'!Z28</f>
        <v>22.666666666666668</v>
      </c>
      <c r="AA140" s="9">
        <f>'h4'!AA28</f>
        <v>7.1</v>
      </c>
      <c r="AB140" s="9">
        <f>'h4'!AB28</f>
        <v>7.1</v>
      </c>
      <c r="AC140" s="9">
        <f>'h4'!AC28</f>
        <v>7.1</v>
      </c>
      <c r="AD140" s="9">
        <f>'h4'!AD28</f>
        <v>7.1</v>
      </c>
      <c r="AE140" s="46" t="s">
        <v>224</v>
      </c>
      <c r="AF140" s="9">
        <v>37.394848</v>
      </c>
      <c r="AG140" s="9">
        <v>-5.9927264</v>
      </c>
    </row>
    <row r="141">
      <c r="A141" s="10">
        <f>'h4'!A29</f>
        <v>140</v>
      </c>
      <c r="B141" t="str">
        <f>'h4'!B29</f>
        <v>Apartamento</v>
      </c>
      <c r="C141" t="str">
        <f>'h4'!C29</f>
        <v>Apartamentos Luxsevilla Palacio</v>
      </c>
      <c r="D141" t="str">
        <f>'h4'!D29</f>
        <v>Publicidad</v>
      </c>
      <c r="E141" s="9">
        <f>'h4'!E29</f>
        <v>631</v>
      </c>
      <c r="F141" s="9">
        <f>'h4'!F29</f>
        <v>65</v>
      </c>
      <c r="G141" s="9">
        <f>'h4'!G29</f>
        <v>3.7</v>
      </c>
      <c r="H141" s="9">
        <f>'h4'!H29</f>
        <v>2.6</v>
      </c>
      <c r="I141" s="9">
        <f>'h4'!I29</f>
        <v>3.5972701149425292</v>
      </c>
      <c r="J141" s="9">
        <f>'h4'!J29</f>
        <v>0</v>
      </c>
      <c r="K141" s="9">
        <f>'h4'!K29</f>
        <v>0</v>
      </c>
      <c r="L141" s="9">
        <f>'h4'!L29</f>
        <v>0</v>
      </c>
      <c r="M141" s="9">
        <f>'h4'!M29</f>
        <v>25</v>
      </c>
      <c r="N141" s="9">
        <f>'h4'!N29</f>
        <v>25</v>
      </c>
      <c r="O141" s="9">
        <f>'h4'!O29</f>
        <v>12.5</v>
      </c>
      <c r="P141" s="9">
        <f>'h4'!P29</f>
        <v>5780</v>
      </c>
      <c r="Q141" s="9">
        <f>'h4'!Q29</f>
        <v>1.1</v>
      </c>
      <c r="R141" s="9">
        <f>'h4'!R29</f>
        <v>0.10272988505747094</v>
      </c>
      <c r="S141" s="9">
        <f>'h4'!S29</f>
        <v>0.9972701149425292</v>
      </c>
      <c r="T141" s="9">
        <f>'h4'!T29</f>
        <v>0.12041522491349481</v>
      </c>
      <c r="U141" s="9">
        <f>'h4'!U29</f>
        <v>10.225633266110583</v>
      </c>
      <c r="V141" s="9">
        <f>'h4'!V29</f>
        <v>0</v>
      </c>
      <c r="W141" s="9">
        <f>'h4'!W29</f>
        <v>0.43252595155709345</v>
      </c>
      <c r="X141" s="9">
        <f>'h4'!X29</f>
        <v>0.43252595155709345</v>
      </c>
      <c r="Y141" s="9">
        <f>'h4'!Y29</f>
        <v>0.21626297577854672</v>
      </c>
      <c r="Z141" s="9">
        <f>'h4'!Z29</f>
        <v>9.707692307692307</v>
      </c>
      <c r="AA141" s="9">
        <f>'h4'!AA29</f>
        <v>69.6</v>
      </c>
      <c r="AB141" s="9">
        <f>'h4'!AB29</f>
        <v>0.27729083665338644</v>
      </c>
      <c r="AC141" s="9">
        <f>'h4'!AC29</f>
        <v>0.27729083665338644</v>
      </c>
      <c r="AD141" s="9">
        <f>'h4'!AD29</f>
        <v>0.5523809523809524</v>
      </c>
      <c r="AE141" s="46" t="s">
        <v>224</v>
      </c>
      <c r="AF141" s="9">
        <v>37.4092595</v>
      </c>
      <c r="AG141" s="9">
        <v>-5.9339951</v>
      </c>
    </row>
    <row r="142">
      <c r="A142" s="10">
        <f>'h4'!A30</f>
        <v>141</v>
      </c>
      <c r="B142" t="str">
        <f>'h4'!B30</f>
        <v>Apartamento</v>
      </c>
      <c r="C142" t="str">
        <f>'h4'!C30</f>
        <v>Smartr Sevilla Puente de Triana</v>
      </c>
      <c r="D142" t="str">
        <f>'h4'!D30</f>
        <v>Publicidad</v>
      </c>
      <c r="E142" s="9">
        <f>'h4'!E30</f>
        <v>175</v>
      </c>
      <c r="F142" s="9">
        <f>'h4'!F30</f>
        <v>2</v>
      </c>
      <c r="G142" s="9">
        <f>'h4'!G30</f>
        <v>4.7</v>
      </c>
      <c r="H142" s="9">
        <f>'h4'!H30</f>
        <v>3.5</v>
      </c>
      <c r="I142" s="9">
        <f>'h4'!I30</f>
        <v>4.686440677966102</v>
      </c>
      <c r="J142" s="9">
        <f>'h4'!J30</f>
        <v>0</v>
      </c>
      <c r="K142" s="9">
        <f>'h4'!K30</f>
        <v>0</v>
      </c>
      <c r="L142" s="9">
        <f>'h4'!L30</f>
        <v>0</v>
      </c>
      <c r="M142" s="9">
        <f>'h4'!M30</f>
        <v>0</v>
      </c>
      <c r="N142" s="9">
        <f>'h4'!N30</f>
        <v>0</v>
      </c>
      <c r="O142" s="9">
        <f>'h4'!O30</f>
        <v>0</v>
      </c>
      <c r="P142" s="9">
        <f>'h4'!P30</f>
        <v>887</v>
      </c>
      <c r="Q142" s="9">
        <f>'h4'!Q30</f>
        <v>1.2000000000000002</v>
      </c>
      <c r="R142" s="9">
        <f>'h4'!R30</f>
        <v>0.013559322033898091</v>
      </c>
      <c r="S142" s="9">
        <f>'h4'!S30</f>
        <v>1.186440677966102</v>
      </c>
      <c r="T142" s="9">
        <f>'h4'!T30</f>
        <v>0.1995490417136415</v>
      </c>
      <c r="U142" s="9">
        <f>'h4'!U30</f>
        <v>10.5349933584583</v>
      </c>
      <c r="V142" s="9">
        <f>'h4'!V30</f>
        <v>0</v>
      </c>
      <c r="W142" s="9">
        <f>'h4'!W30</f>
        <v>0</v>
      </c>
      <c r="X142" s="9">
        <f>'h4'!X30</f>
        <v>0</v>
      </c>
      <c r="Y142" s="9">
        <f>'h4'!Y30</f>
        <v>0</v>
      </c>
      <c r="Z142" s="9">
        <f>'h4'!Z30</f>
        <v>87.5</v>
      </c>
      <c r="AA142" s="9">
        <f>'h4'!AA30</f>
        <v>17.7</v>
      </c>
      <c r="AB142" s="9">
        <f>'h4'!AB30</f>
        <v>17.7</v>
      </c>
      <c r="AC142" s="9">
        <f>'h4'!AC30</f>
        <v>17.7</v>
      </c>
      <c r="AD142" s="9">
        <f>'h4'!AD30</f>
        <v>17.7</v>
      </c>
      <c r="AE142" s="46" t="s">
        <v>224</v>
      </c>
      <c r="AF142" s="9">
        <v>37.3881196</v>
      </c>
      <c r="AG142" s="9">
        <v>-6.0023422</v>
      </c>
    </row>
    <row r="143">
      <c r="A143" s="10">
        <f>'h4'!A31</f>
        <v>142</v>
      </c>
      <c r="B143" t="str">
        <f>'h4'!B31</f>
        <v>Apartamento</v>
      </c>
      <c r="C143" t="str">
        <f>'h4'!C31</f>
        <v>Smartr Sevilla Las Dueñas</v>
      </c>
      <c r="D143" t="str">
        <f>'h4'!D31</f>
        <v>Publicidad</v>
      </c>
      <c r="E143" s="9">
        <f>'h4'!E31</f>
        <v>156</v>
      </c>
      <c r="F143" s="9">
        <f>'h4'!F31</f>
        <v>207</v>
      </c>
      <c r="G143" s="9">
        <f>'h4'!G31</f>
        <v>4.3</v>
      </c>
      <c r="H143" s="9">
        <f>'h4'!H31</f>
        <v>4.3</v>
      </c>
      <c r="I143" s="9">
        <f>'h4'!I31</f>
        <v>4.3</v>
      </c>
      <c r="J143" s="9">
        <f>'h4'!J31</f>
        <v>1</v>
      </c>
      <c r="K143" s="9">
        <f>'h4'!K31</f>
        <v>27</v>
      </c>
      <c r="L143" s="9">
        <f>'h4'!L31</f>
        <v>0</v>
      </c>
      <c r="M143" s="9">
        <f>'h4'!M31</f>
        <v>0</v>
      </c>
      <c r="N143" s="9">
        <f>'h4'!N31</f>
        <v>0</v>
      </c>
      <c r="O143" s="9">
        <f>'h4'!O31</f>
        <v>0</v>
      </c>
      <c r="P143" s="9">
        <f>'h4'!P31</f>
        <v>989</v>
      </c>
      <c r="Q143" s="9">
        <f>'h4'!Q31</f>
        <v>0</v>
      </c>
      <c r="R143" s="9">
        <f>'h4'!R31</f>
        <v>0</v>
      </c>
      <c r="S143" s="9">
        <f>'h4'!S31</f>
        <v>0</v>
      </c>
      <c r="T143" s="9">
        <f>'h4'!T31</f>
        <v>0.36703741152679475</v>
      </c>
      <c r="U143" s="9">
        <f>'h4'!U31</f>
        <v>11.007598487655283</v>
      </c>
      <c r="V143" s="9">
        <f>'h4'!V31</f>
        <v>0</v>
      </c>
      <c r="W143" s="9">
        <f>'h4'!W31</f>
        <v>0</v>
      </c>
      <c r="X143" s="9">
        <f>'h4'!X31</f>
        <v>0</v>
      </c>
      <c r="Y143" s="9">
        <f>'h4'!Y31</f>
        <v>0</v>
      </c>
      <c r="Z143" s="9">
        <f>'h4'!Z31</f>
        <v>0.7536231884057971</v>
      </c>
      <c r="AA143" s="9">
        <f>'h4'!AA31</f>
        <v>36.3</v>
      </c>
      <c r="AB143" s="9">
        <f>'h4'!AB31</f>
        <v>36.3</v>
      </c>
      <c r="AC143" s="9">
        <f>'h4'!AC31</f>
        <v>36.3</v>
      </c>
      <c r="AD143" s="9">
        <f>'h4'!AD31</f>
        <v>36.3</v>
      </c>
      <c r="AE143" s="46" t="s">
        <v>224</v>
      </c>
      <c r="AF143" s="9">
        <v>37.3950811</v>
      </c>
      <c r="AG143" s="9">
        <v>-5.9928066</v>
      </c>
    </row>
  </sheetData>
  <pageMargins left="0.699999988079071" right="0.699999988079071" top="0.75" bottom="0.75" header="0.30000001192092896" footer="0.30000001192092896"/>
  <pageSetup orientation="portrait"/>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RUIZ MORA</dc:creator>
</cp:coreProperties>
</file>